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ric\git\ICM_LAVegMod\"/>
    </mc:Choice>
  </mc:AlternateContent>
  <xr:revisionPtr revIDLastSave="0" documentId="13_ncr:2001_{D71F3042-02EC-4833-8443-84780DE4D0D2}" xr6:coauthVersionLast="47" xr6:coauthVersionMax="47" xr10:uidLastSave="{00000000-0000-0000-0000-000000000000}"/>
  <bookViews>
    <workbookView xWindow="-120" yWindow="-120" windowWidth="29040" windowHeight="15720" xr2:uid="{74F289D0-3EE8-459D-9BEF-E30A003D3322}"/>
  </bookViews>
  <sheets>
    <sheet name="mortality_SPPA" sheetId="1" r:id="rId1"/>
  </sheets>
  <definedNames>
    <definedName name="greaterX">mortality_SPPA!$AC$10</definedName>
    <definedName name="greaterY">mortality_SPPA!$AC$12</definedName>
    <definedName name="igreaterX">mortality_SPPA!$AC$6</definedName>
    <definedName name="igreaterY">mortality_SPPA!$AC$8</definedName>
    <definedName name="ilesserX">mortality_SPPA!$AC$7</definedName>
    <definedName name="ilesserY">mortality_SPPA!$AC$9</definedName>
    <definedName name="lesserX">mortality_SPPA!$AC$11</definedName>
    <definedName name="lesserY">mortality_SPPA!$AC$13</definedName>
    <definedName name="VALgg">mortality_SPPA!$AC$16</definedName>
    <definedName name="VALgl">mortality_SPPA!$AC$14</definedName>
    <definedName name="VALlg">mortality_SPPA!$AC$17</definedName>
    <definedName name="VALll">mortality_SPPA!$AC$15</definedName>
    <definedName name="VALxg">mortality_SPPA!$AC$21</definedName>
    <definedName name="VALxl">mortality_SPPA!$AC$20</definedName>
    <definedName name="VALxy">mortality_SPPA!$AC$22</definedName>
    <definedName name="X">mortality_SPPA!$AC$4</definedName>
    <definedName name="x_int_wgt">mortality_SPPA!$AC$18</definedName>
    <definedName name="Y">mortality_SPPA!$AC$5</definedName>
    <definedName name="y_int_wgt">mortality_SPPA!$AC$19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1" l="1"/>
  <c r="AC13" i="1" s="1"/>
  <c r="AC8" i="1"/>
  <c r="AC12" i="1" s="1"/>
  <c r="AC7" i="1"/>
  <c r="AC11" i="1" s="1"/>
  <c r="AC6" i="1"/>
  <c r="AC10" i="1" s="1"/>
  <c r="AC14" i="1" l="1"/>
  <c r="AC17" i="1"/>
  <c r="AC15" i="1"/>
  <c r="AC16" i="1"/>
  <c r="AC18" i="1"/>
  <c r="AC19" i="1"/>
  <c r="AC20" i="1" l="1"/>
  <c r="AC21" i="1" l="1"/>
  <c r="AC22" i="1" s="1"/>
</calcChain>
</file>

<file path=xl/sharedStrings.xml><?xml version="1.0" encoding="utf-8"?>
<sst xmlns="http://schemas.openxmlformats.org/spreadsheetml/2006/main" count="24" uniqueCount="24">
  <si>
    <t>SPPA</t>
  </si>
  <si>
    <t>X</t>
  </si>
  <si>
    <t>Y</t>
  </si>
  <si>
    <t>WLV</t>
  </si>
  <si>
    <t>SAL</t>
  </si>
  <si>
    <t>greaterX</t>
  </si>
  <si>
    <t>lesserX</t>
  </si>
  <si>
    <t>greaterY</t>
  </si>
  <si>
    <t>lesserY</t>
  </si>
  <si>
    <t>igreaterX</t>
  </si>
  <si>
    <t>ilesserX</t>
  </si>
  <si>
    <t>igreaterY</t>
  </si>
  <si>
    <t>ilesserY</t>
  </si>
  <si>
    <t>VALxy</t>
  </si>
  <si>
    <t>VALxl</t>
  </si>
  <si>
    <t>VALxg</t>
  </si>
  <si>
    <t>VALgl</t>
  </si>
  <si>
    <t>VALll</t>
  </si>
  <si>
    <t>VALgg</t>
  </si>
  <si>
    <t>VALlg</t>
  </si>
  <si>
    <t>x_int_wgt</t>
  </si>
  <si>
    <t>y_int_wgt</t>
  </si>
  <si>
    <t>iX</t>
  </si>
  <si>
    <t>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</si>
</sst>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3">
    <xf numFmtId="0" fontId="0" fillId="0" borderId="0" xfId="0"/>
    <xf numFmtId="0" fontId="8" fillId="0" borderId="0" xfId="8" applyFill="1"/>
    <xf numFmtId="0" fontId="6" fillId="0" borderId="0" xfId="6" applyFill="1"/>
    <xf numFmtId="0" fontId="0" fillId="0" borderId="12" xfId="0" applyBorder="1"/>
    <xf numFmtId="0" fontId="0" fillId="0" borderId="14" xfId="0" applyBorder="1"/>
    <xf numFmtId="0" fontId="0" fillId="0" borderId="16" xfId="0" applyBorder="1"/>
    <xf numFmtId="2" fontId="0" fillId="0" borderId="16" xfId="0" applyNumberFormat="1" applyBorder="1"/>
    <xf numFmtId="0" fontId="18" fillId="0" borderId="0" xfId="8" applyFont="1" applyFill="1"/>
    <xf numFmtId="0" fontId="18" fillId="0" borderId="0" xfId="7" applyFont="1" applyFill="1"/>
    <xf numFmtId="0" fontId="19" fillId="2" borderId="17" xfId="6" applyFont="1" applyBorder="1"/>
    <xf numFmtId="0" fontId="19" fillId="2" borderId="15" xfId="6" applyFont="1" applyBorder="1"/>
    <xf numFmtId="0" fontId="19" fillId="2" borderId="16" xfId="6" applyFont="1" applyBorder="1"/>
    <xf numFmtId="0" fontId="18" fillId="0" borderId="0" xfId="0" applyFont="1"/>
    <xf numFmtId="0" fontId="18" fillId="0" borderId="0" xfId="6" applyFont="1" applyFill="1"/>
    <xf numFmtId="0" fontId="16" fillId="0" borderId="19" xfId="0" applyFont="1" applyBorder="1"/>
    <xf numFmtId="0" fontId="19" fillId="2" borderId="18" xfId="6" applyFont="1" applyBorder="1"/>
    <xf numFmtId="0" fontId="16" fillId="0" borderId="10" xfId="0" applyFont="1" applyBorder="1"/>
    <xf numFmtId="0" fontId="0" fillId="0" borderId="0" xfId="0" applyAlignment="1">
      <alignment horizontal="left"/>
    </xf>
    <xf numFmtId="0" fontId="0" fillId="0" borderId="12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4" xfId="0" applyBorder="1" applyAlignment="1">
      <alignment horizontal="right"/>
    </xf>
    <xf numFmtId="0" fontId="18" fillId="0" borderId="12" xfId="8" applyFont="1" applyFill="1" applyBorder="1"/>
    <xf numFmtId="2" fontId="0" fillId="0" borderId="14" xfId="0" applyNumberFormat="1" applyBorder="1"/>
    <xf numFmtId="0" fontId="18" fillId="0" borderId="16" xfId="8" applyFont="1" applyFill="1" applyBorder="1"/>
    <xf numFmtId="0" fontId="16" fillId="0" borderId="11" xfId="0" applyFont="1" applyBorder="1"/>
    <xf numFmtId="0" fontId="16" fillId="0" borderId="15" xfId="0" applyFont="1" applyBorder="1"/>
    <xf numFmtId="0" fontId="16" fillId="0" borderId="13" xfId="0" applyFont="1" applyBorder="1"/>
    <xf numFmtId="0" fontId="20" fillId="0" borderId="11" xfId="8" applyFont="1" applyFill="1" applyBorder="1"/>
    <xf numFmtId="0" fontId="20" fillId="0" borderId="15" xfId="6" applyFont="1" applyFill="1" applyBorder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  <xf numFmtId="0" fontId="21" fillId="0" borderId="0" xfId="0" applyFont="1"/>
    <xf numFmtId="164" fontId="19" fillId="2" borderId="18" xfId="6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FF6B-1B68-40A9-9A24-33398F0F1ED6}">
  <dimension ref="A1:AD41"/>
  <sheetViews>
    <sheetView tabSelected="1" workbookViewId="0">
      <selection activeCell="E14" sqref="E14"/>
    </sheetView>
  </sheetViews>
  <sheetFormatPr defaultRowHeight="15" x14ac:dyDescent="0.25"/>
  <cols>
    <col min="1" max="1" width="4.7109375" style="29" customWidth="1"/>
    <col min="7" max="7" width="9.140625" style="7"/>
    <col min="8" max="8" width="9.140625" style="2"/>
  </cols>
  <sheetData>
    <row r="1" spans="1:30" s="31" customFormat="1" ht="11.25" x14ac:dyDescent="0.2">
      <c r="A1" s="29"/>
      <c r="B1" s="30" t="s">
        <v>23</v>
      </c>
      <c r="C1" s="29">
        <v>1</v>
      </c>
      <c r="D1" s="29">
        <v>2</v>
      </c>
      <c r="E1" s="29">
        <v>3</v>
      </c>
      <c r="F1" s="29">
        <v>4</v>
      </c>
      <c r="G1" s="29">
        <v>5</v>
      </c>
      <c r="H1" s="29">
        <v>6</v>
      </c>
      <c r="I1" s="29">
        <v>7</v>
      </c>
      <c r="J1" s="29">
        <v>8</v>
      </c>
      <c r="K1" s="29">
        <v>9</v>
      </c>
      <c r="L1" s="29">
        <v>10</v>
      </c>
      <c r="M1" s="29">
        <v>11</v>
      </c>
      <c r="N1" s="29">
        <v>12</v>
      </c>
      <c r="O1" s="29">
        <v>13</v>
      </c>
      <c r="P1" s="29">
        <v>14</v>
      </c>
      <c r="Q1" s="29">
        <v>15</v>
      </c>
      <c r="R1" s="29">
        <v>16</v>
      </c>
      <c r="S1" s="29">
        <v>17</v>
      </c>
      <c r="T1" s="29">
        <v>18</v>
      </c>
      <c r="U1" s="29">
        <v>19</v>
      </c>
      <c r="V1" s="29">
        <v>20</v>
      </c>
      <c r="W1" s="29">
        <v>21</v>
      </c>
      <c r="X1" s="29">
        <v>22</v>
      </c>
      <c r="Y1" s="29">
        <v>23</v>
      </c>
      <c r="Z1" s="29">
        <v>24</v>
      </c>
    </row>
    <row r="2" spans="1:30" x14ac:dyDescent="0.25">
      <c r="A2" s="29" t="s">
        <v>22</v>
      </c>
      <c r="B2" t="s">
        <v>0</v>
      </c>
      <c r="C2">
        <v>0</v>
      </c>
      <c r="D2">
        <v>0.03</v>
      </c>
      <c r="E2">
        <v>0.06</v>
      </c>
      <c r="F2">
        <v>0.09</v>
      </c>
      <c r="G2" s="7">
        <v>0.12</v>
      </c>
      <c r="H2" s="2">
        <v>0.15</v>
      </c>
      <c r="I2">
        <v>0.18</v>
      </c>
      <c r="J2">
        <v>0.21</v>
      </c>
      <c r="K2">
        <v>0.24</v>
      </c>
      <c r="L2">
        <v>0.27</v>
      </c>
      <c r="M2">
        <v>0.3</v>
      </c>
      <c r="N2">
        <v>0.33</v>
      </c>
      <c r="O2">
        <v>0.36</v>
      </c>
      <c r="P2">
        <v>0.39</v>
      </c>
      <c r="Q2">
        <v>0.42</v>
      </c>
      <c r="R2">
        <v>0.45</v>
      </c>
      <c r="S2">
        <v>0.48</v>
      </c>
      <c r="T2">
        <v>0.51</v>
      </c>
      <c r="U2">
        <v>0.54</v>
      </c>
      <c r="V2">
        <v>0.56999999999999995</v>
      </c>
      <c r="W2">
        <v>0.6</v>
      </c>
      <c r="X2">
        <v>0.63</v>
      </c>
      <c r="Y2">
        <v>0.66</v>
      </c>
      <c r="Z2">
        <v>10</v>
      </c>
    </row>
    <row r="3" spans="1:30" x14ac:dyDescent="0.25">
      <c r="A3" s="29">
        <v>1</v>
      </c>
      <c r="B3">
        <v>0</v>
      </c>
      <c r="C3" s="12">
        <v>1</v>
      </c>
      <c r="D3" s="12">
        <v>1</v>
      </c>
      <c r="E3" s="12">
        <v>1</v>
      </c>
      <c r="F3" s="12">
        <v>1</v>
      </c>
      <c r="G3" s="7">
        <v>1</v>
      </c>
      <c r="H3" s="13">
        <v>1</v>
      </c>
      <c r="I3" s="12">
        <v>1</v>
      </c>
      <c r="J3" s="12">
        <v>1</v>
      </c>
      <c r="K3" s="12">
        <v>1</v>
      </c>
      <c r="L3" s="12">
        <v>1</v>
      </c>
      <c r="M3" s="12">
        <v>1</v>
      </c>
      <c r="N3" s="12">
        <v>1</v>
      </c>
      <c r="O3" s="12">
        <v>1</v>
      </c>
      <c r="P3" s="12">
        <v>1</v>
      </c>
      <c r="Q3" s="12">
        <v>1</v>
      </c>
      <c r="R3" s="12">
        <v>1</v>
      </c>
      <c r="S3" s="12">
        <v>1</v>
      </c>
      <c r="T3" s="12">
        <v>1</v>
      </c>
      <c r="U3" s="12">
        <v>1</v>
      </c>
      <c r="V3" s="12">
        <v>1</v>
      </c>
      <c r="W3" s="12">
        <v>1</v>
      </c>
      <c r="X3" s="12">
        <v>1</v>
      </c>
      <c r="Y3" s="12">
        <v>1</v>
      </c>
      <c r="Z3" s="12">
        <v>1</v>
      </c>
    </row>
    <row r="4" spans="1:30" x14ac:dyDescent="0.25">
      <c r="A4" s="29">
        <v>2</v>
      </c>
      <c r="B4">
        <v>0.1</v>
      </c>
      <c r="C4" s="12">
        <v>1</v>
      </c>
      <c r="D4" s="12">
        <v>1</v>
      </c>
      <c r="E4" s="12">
        <v>1</v>
      </c>
      <c r="F4" s="12">
        <v>1</v>
      </c>
      <c r="G4" s="7">
        <v>1</v>
      </c>
      <c r="H4" s="13">
        <v>1</v>
      </c>
      <c r="I4" s="12">
        <v>1</v>
      </c>
      <c r="J4" s="12">
        <v>1</v>
      </c>
      <c r="K4" s="12">
        <v>1</v>
      </c>
      <c r="L4" s="12">
        <v>1</v>
      </c>
      <c r="M4" s="12">
        <v>1</v>
      </c>
      <c r="N4" s="12">
        <v>1</v>
      </c>
      <c r="O4" s="12">
        <v>1</v>
      </c>
      <c r="P4" s="12">
        <v>1</v>
      </c>
      <c r="Q4" s="12">
        <v>1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1</v>
      </c>
      <c r="X4" s="12">
        <v>1</v>
      </c>
      <c r="Y4" s="12">
        <v>1</v>
      </c>
      <c r="Z4" s="12">
        <v>1</v>
      </c>
      <c r="AB4" s="9" t="s">
        <v>1</v>
      </c>
      <c r="AC4" s="15">
        <v>0.19500000000000001</v>
      </c>
      <c r="AD4" s="16" t="s">
        <v>3</v>
      </c>
    </row>
    <row r="5" spans="1:30" x14ac:dyDescent="0.25">
      <c r="A5" s="29">
        <v>3</v>
      </c>
      <c r="B5">
        <v>0.2</v>
      </c>
      <c r="C5" s="12">
        <v>1</v>
      </c>
      <c r="D5" s="12">
        <v>1</v>
      </c>
      <c r="E5" s="12">
        <v>1</v>
      </c>
      <c r="F5" s="12">
        <v>1</v>
      </c>
      <c r="G5" s="7">
        <v>1</v>
      </c>
      <c r="H5" s="13">
        <v>1</v>
      </c>
      <c r="I5" s="12">
        <v>1</v>
      </c>
      <c r="J5" s="12">
        <v>1</v>
      </c>
      <c r="K5" s="12">
        <v>1</v>
      </c>
      <c r="L5" s="12">
        <v>1</v>
      </c>
      <c r="M5" s="12">
        <v>1</v>
      </c>
      <c r="N5" s="12">
        <v>1</v>
      </c>
      <c r="O5" s="12">
        <v>1</v>
      </c>
      <c r="P5" s="12">
        <v>1</v>
      </c>
      <c r="Q5" s="12">
        <v>1</v>
      </c>
      <c r="R5" s="12">
        <v>1</v>
      </c>
      <c r="S5" s="12">
        <v>1</v>
      </c>
      <c r="T5" s="12">
        <v>1</v>
      </c>
      <c r="U5" s="12">
        <v>1</v>
      </c>
      <c r="V5" s="12">
        <v>1</v>
      </c>
      <c r="W5" s="12">
        <v>1</v>
      </c>
      <c r="X5" s="12">
        <v>1</v>
      </c>
      <c r="Y5" s="12">
        <v>1</v>
      </c>
      <c r="Z5" s="12">
        <v>1</v>
      </c>
      <c r="AB5" s="10" t="s">
        <v>2</v>
      </c>
      <c r="AC5" s="11">
        <v>1.5</v>
      </c>
      <c r="AD5" s="14" t="s">
        <v>4</v>
      </c>
    </row>
    <row r="6" spans="1:30" x14ac:dyDescent="0.25">
      <c r="A6" s="29">
        <v>4</v>
      </c>
      <c r="B6">
        <v>0.3</v>
      </c>
      <c r="C6" s="12">
        <v>1</v>
      </c>
      <c r="D6" s="12">
        <v>1</v>
      </c>
      <c r="E6" s="12">
        <v>1</v>
      </c>
      <c r="F6" s="12">
        <v>1</v>
      </c>
      <c r="G6" s="7">
        <v>1</v>
      </c>
      <c r="H6" s="13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1</v>
      </c>
      <c r="X6" s="12">
        <v>1</v>
      </c>
      <c r="Y6" s="12">
        <v>1</v>
      </c>
      <c r="Z6" s="12">
        <v>1</v>
      </c>
      <c r="AB6" s="24" t="s">
        <v>9</v>
      </c>
      <c r="AC6" s="18">
        <f>_xlfn.XMATCH(X,$C$2:$Z$2,1)</f>
        <v>8</v>
      </c>
    </row>
    <row r="7" spans="1:30" x14ac:dyDescent="0.25">
      <c r="A7" s="29">
        <v>5</v>
      </c>
      <c r="B7">
        <v>0.4</v>
      </c>
      <c r="C7" s="12">
        <v>1</v>
      </c>
      <c r="D7" s="12">
        <v>1</v>
      </c>
      <c r="E7" s="12">
        <v>1</v>
      </c>
      <c r="F7" s="12">
        <v>1</v>
      </c>
      <c r="G7" s="7">
        <v>1</v>
      </c>
      <c r="H7" s="13">
        <v>1</v>
      </c>
      <c r="I7" s="12">
        <v>1</v>
      </c>
      <c r="J7" s="12">
        <v>1</v>
      </c>
      <c r="K7" s="12">
        <v>1</v>
      </c>
      <c r="L7" s="12">
        <v>1</v>
      </c>
      <c r="M7" s="12">
        <v>1</v>
      </c>
      <c r="N7" s="12">
        <v>1</v>
      </c>
      <c r="O7" s="12">
        <v>1</v>
      </c>
      <c r="P7" s="12">
        <v>1</v>
      </c>
      <c r="Q7" s="12">
        <v>1</v>
      </c>
      <c r="R7" s="12">
        <v>1</v>
      </c>
      <c r="S7" s="12">
        <v>1</v>
      </c>
      <c r="T7" s="12">
        <v>1</v>
      </c>
      <c r="U7" s="12">
        <v>1</v>
      </c>
      <c r="V7" s="12">
        <v>1</v>
      </c>
      <c r="W7" s="12">
        <v>1</v>
      </c>
      <c r="X7" s="12">
        <v>1</v>
      </c>
      <c r="Y7" s="12">
        <v>1</v>
      </c>
      <c r="Z7" s="12">
        <v>1</v>
      </c>
      <c r="AB7" s="25" t="s">
        <v>10</v>
      </c>
      <c r="AC7" s="19">
        <f>_xlfn.XMATCH(X,$C$2:$Z$2,-1)</f>
        <v>7</v>
      </c>
    </row>
    <row r="8" spans="1:30" x14ac:dyDescent="0.25">
      <c r="A8" s="29">
        <v>6</v>
      </c>
      <c r="B8">
        <v>0.5</v>
      </c>
      <c r="C8" s="12">
        <v>1</v>
      </c>
      <c r="D8" s="12">
        <v>1</v>
      </c>
      <c r="E8" s="12">
        <v>1</v>
      </c>
      <c r="F8" s="12">
        <v>1</v>
      </c>
      <c r="G8" s="7">
        <v>1</v>
      </c>
      <c r="H8" s="13">
        <v>1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>
        <v>1</v>
      </c>
      <c r="P8" s="12">
        <v>1</v>
      </c>
      <c r="Q8" s="12">
        <v>1</v>
      </c>
      <c r="R8" s="12">
        <v>1</v>
      </c>
      <c r="S8" s="12">
        <v>1</v>
      </c>
      <c r="T8" s="12">
        <v>1</v>
      </c>
      <c r="U8" s="12">
        <v>1</v>
      </c>
      <c r="V8" s="12">
        <v>1</v>
      </c>
      <c r="W8" s="12">
        <v>1</v>
      </c>
      <c r="X8" s="12">
        <v>1</v>
      </c>
      <c r="Y8" s="12">
        <v>1</v>
      </c>
      <c r="Z8" s="12">
        <v>1</v>
      </c>
      <c r="AB8" s="26" t="s">
        <v>11</v>
      </c>
      <c r="AC8" s="20">
        <f>_xlfn.XMATCH(Y,$B$3:$B$41,1)</f>
        <v>14</v>
      </c>
    </row>
    <row r="9" spans="1:30" x14ac:dyDescent="0.25">
      <c r="A9" s="29">
        <v>7</v>
      </c>
      <c r="B9">
        <v>0.6</v>
      </c>
      <c r="C9" s="12">
        <v>1</v>
      </c>
      <c r="D9" s="12">
        <v>1</v>
      </c>
      <c r="E9" s="12">
        <v>0.8</v>
      </c>
      <c r="F9" s="12">
        <v>0.8</v>
      </c>
      <c r="G9" s="7">
        <v>0.8</v>
      </c>
      <c r="H9" s="13">
        <v>0.8</v>
      </c>
      <c r="I9" s="12">
        <v>1</v>
      </c>
      <c r="J9" s="12">
        <v>1</v>
      </c>
      <c r="K9" s="12">
        <v>1</v>
      </c>
      <c r="L9" s="12">
        <v>1</v>
      </c>
      <c r="M9" s="12">
        <v>1</v>
      </c>
      <c r="N9" s="12">
        <v>1</v>
      </c>
      <c r="O9" s="12">
        <v>1</v>
      </c>
      <c r="P9" s="12">
        <v>1</v>
      </c>
      <c r="Q9" s="12">
        <v>1</v>
      </c>
      <c r="R9" s="12">
        <v>1</v>
      </c>
      <c r="S9" s="12">
        <v>1</v>
      </c>
      <c r="T9" s="12">
        <v>1</v>
      </c>
      <c r="U9" s="12">
        <v>1</v>
      </c>
      <c r="V9" s="12">
        <v>1</v>
      </c>
      <c r="W9" s="12">
        <v>1</v>
      </c>
      <c r="X9" s="12">
        <v>1</v>
      </c>
      <c r="Y9" s="12">
        <v>1</v>
      </c>
      <c r="Z9" s="12">
        <v>1</v>
      </c>
      <c r="AB9" s="25" t="s">
        <v>12</v>
      </c>
      <c r="AC9" s="19">
        <f>_xlfn.XMATCH(Y,$B$3:$B$41,-1)</f>
        <v>13</v>
      </c>
    </row>
    <row r="10" spans="1:30" x14ac:dyDescent="0.25">
      <c r="A10" s="29">
        <v>8</v>
      </c>
      <c r="B10">
        <v>0.7</v>
      </c>
      <c r="C10" s="12">
        <v>1</v>
      </c>
      <c r="D10" s="12">
        <v>0.95</v>
      </c>
      <c r="E10" s="12">
        <v>0.7</v>
      </c>
      <c r="F10" s="12">
        <v>0.7</v>
      </c>
      <c r="G10" s="7">
        <v>0.7</v>
      </c>
      <c r="H10" s="13">
        <v>0.7</v>
      </c>
      <c r="I10" s="12">
        <v>0.95</v>
      </c>
      <c r="J10" s="12">
        <v>1</v>
      </c>
      <c r="K10" s="12">
        <v>1</v>
      </c>
      <c r="L10" s="12">
        <v>1</v>
      </c>
      <c r="M10" s="12">
        <v>1</v>
      </c>
      <c r="N10" s="12">
        <v>1</v>
      </c>
      <c r="O10" s="12">
        <v>1</v>
      </c>
      <c r="P10" s="12">
        <v>1</v>
      </c>
      <c r="Q10" s="12">
        <v>1</v>
      </c>
      <c r="R10" s="12">
        <v>1</v>
      </c>
      <c r="S10" s="12">
        <v>1</v>
      </c>
      <c r="T10" s="12">
        <v>1</v>
      </c>
      <c r="U10" s="12">
        <v>1</v>
      </c>
      <c r="V10" s="12">
        <v>1</v>
      </c>
      <c r="W10" s="12">
        <v>1</v>
      </c>
      <c r="X10" s="12">
        <v>1</v>
      </c>
      <c r="Y10" s="12">
        <v>1</v>
      </c>
      <c r="Z10" s="12">
        <v>1</v>
      </c>
      <c r="AB10" s="24" t="s">
        <v>5</v>
      </c>
      <c r="AC10" s="3">
        <f ca="1">OFFSET($B$2,0,igreaterX)</f>
        <v>0.21</v>
      </c>
    </row>
    <row r="11" spans="1:30" x14ac:dyDescent="0.25">
      <c r="A11" s="29">
        <v>9</v>
      </c>
      <c r="B11">
        <v>0.8</v>
      </c>
      <c r="C11" s="12">
        <v>1</v>
      </c>
      <c r="D11" s="12">
        <v>0.85</v>
      </c>
      <c r="E11" s="12">
        <v>0.6</v>
      </c>
      <c r="F11" s="12">
        <v>0.6</v>
      </c>
      <c r="G11" s="7">
        <v>0.6</v>
      </c>
      <c r="H11" s="13">
        <v>0.6</v>
      </c>
      <c r="I11" s="12">
        <v>0.85</v>
      </c>
      <c r="J11" s="12">
        <v>1</v>
      </c>
      <c r="K11" s="12">
        <v>1</v>
      </c>
      <c r="L11" s="12">
        <v>1</v>
      </c>
      <c r="M11" s="12">
        <v>1</v>
      </c>
      <c r="N11" s="12">
        <v>1</v>
      </c>
      <c r="O11" s="12">
        <v>1</v>
      </c>
      <c r="P11" s="12">
        <v>1</v>
      </c>
      <c r="Q11" s="12">
        <v>1</v>
      </c>
      <c r="R11" s="12">
        <v>1</v>
      </c>
      <c r="S11" s="12">
        <v>1</v>
      </c>
      <c r="T11" s="12">
        <v>1</v>
      </c>
      <c r="U11" s="12">
        <v>1</v>
      </c>
      <c r="V11" s="12">
        <v>1</v>
      </c>
      <c r="W11" s="12">
        <v>1</v>
      </c>
      <c r="X11" s="12">
        <v>1</v>
      </c>
      <c r="Y11" s="12">
        <v>1</v>
      </c>
      <c r="Z11" s="12">
        <v>1</v>
      </c>
      <c r="AB11" s="25" t="s">
        <v>6</v>
      </c>
      <c r="AC11" s="5">
        <f ca="1">OFFSET($B$2,0,ilesserX)</f>
        <v>0.18</v>
      </c>
    </row>
    <row r="12" spans="1:30" x14ac:dyDescent="0.25">
      <c r="A12" s="29">
        <v>10</v>
      </c>
      <c r="B12">
        <v>0.9</v>
      </c>
      <c r="C12" s="12">
        <v>1</v>
      </c>
      <c r="D12" s="12">
        <v>0.75</v>
      </c>
      <c r="E12" s="12">
        <v>0.5</v>
      </c>
      <c r="F12" s="12">
        <v>0.5</v>
      </c>
      <c r="G12" s="7">
        <v>0.5</v>
      </c>
      <c r="H12" s="13">
        <v>0.5</v>
      </c>
      <c r="I12" s="12">
        <v>0.75</v>
      </c>
      <c r="J12" s="12">
        <v>1</v>
      </c>
      <c r="K12" s="12">
        <v>1</v>
      </c>
      <c r="L12" s="12">
        <v>1</v>
      </c>
      <c r="M12" s="12">
        <v>1</v>
      </c>
      <c r="N12" s="12">
        <v>1</v>
      </c>
      <c r="O12" s="12">
        <v>1</v>
      </c>
      <c r="P12" s="12">
        <v>1</v>
      </c>
      <c r="Q12" s="12">
        <v>1</v>
      </c>
      <c r="R12" s="12">
        <v>1</v>
      </c>
      <c r="S12" s="12">
        <v>1</v>
      </c>
      <c r="T12" s="12">
        <v>1</v>
      </c>
      <c r="U12" s="12">
        <v>1</v>
      </c>
      <c r="V12" s="12">
        <v>1</v>
      </c>
      <c r="W12" s="12">
        <v>1</v>
      </c>
      <c r="X12" s="12">
        <v>1</v>
      </c>
      <c r="Y12" s="12">
        <v>1</v>
      </c>
      <c r="Z12" s="12">
        <v>1</v>
      </c>
      <c r="AB12" s="26" t="s">
        <v>7</v>
      </c>
      <c r="AC12" s="4">
        <f ca="1">OFFSET($B$2,igreaterY,0)</f>
        <v>1.6</v>
      </c>
    </row>
    <row r="13" spans="1:30" x14ac:dyDescent="0.25">
      <c r="A13" s="29">
        <v>11</v>
      </c>
      <c r="B13">
        <v>1</v>
      </c>
      <c r="C13" s="12">
        <v>0.9</v>
      </c>
      <c r="D13" s="12">
        <v>0.65</v>
      </c>
      <c r="E13" s="12">
        <v>0.4</v>
      </c>
      <c r="F13" s="12">
        <v>0.4</v>
      </c>
      <c r="G13" s="7">
        <v>0.4</v>
      </c>
      <c r="H13" s="13">
        <v>0.4</v>
      </c>
      <c r="I13" s="12">
        <v>0.65</v>
      </c>
      <c r="J13" s="12">
        <v>0.9</v>
      </c>
      <c r="K13" s="12">
        <v>1</v>
      </c>
      <c r="L13" s="12">
        <v>1</v>
      </c>
      <c r="M13" s="12">
        <v>1</v>
      </c>
      <c r="N13" s="12">
        <v>1</v>
      </c>
      <c r="O13" s="12">
        <v>1</v>
      </c>
      <c r="P13" s="12">
        <v>1</v>
      </c>
      <c r="Q13" s="12">
        <v>1</v>
      </c>
      <c r="R13" s="12">
        <v>1</v>
      </c>
      <c r="S13" s="12">
        <v>1</v>
      </c>
      <c r="T13" s="12">
        <v>1</v>
      </c>
      <c r="U13" s="12">
        <v>1</v>
      </c>
      <c r="V13" s="12">
        <v>1</v>
      </c>
      <c r="W13" s="12">
        <v>1</v>
      </c>
      <c r="X13" s="12">
        <v>1</v>
      </c>
      <c r="Y13" s="12">
        <v>1</v>
      </c>
      <c r="Z13" s="12">
        <v>1</v>
      </c>
      <c r="AB13" s="25" t="s">
        <v>8</v>
      </c>
      <c r="AC13" s="5">
        <f ca="1">OFFSET($B$2,ilesserY,0)</f>
        <v>1.4</v>
      </c>
    </row>
    <row r="14" spans="1:30" x14ac:dyDescent="0.25">
      <c r="A14" s="29">
        <v>12</v>
      </c>
      <c r="B14">
        <v>1.2</v>
      </c>
      <c r="C14" s="12">
        <v>0.8</v>
      </c>
      <c r="D14" s="12">
        <v>0.55000000000000004</v>
      </c>
      <c r="E14" s="12">
        <v>0.3</v>
      </c>
      <c r="F14" s="12">
        <v>0.3</v>
      </c>
      <c r="G14" s="7">
        <v>0.3</v>
      </c>
      <c r="H14" s="13">
        <v>0.3</v>
      </c>
      <c r="I14" s="12">
        <v>0.55000000000000004</v>
      </c>
      <c r="J14" s="12">
        <v>0.8</v>
      </c>
      <c r="K14" s="12">
        <v>1</v>
      </c>
      <c r="L14" s="12">
        <v>1</v>
      </c>
      <c r="M14" s="12">
        <v>1</v>
      </c>
      <c r="N14" s="12">
        <v>1</v>
      </c>
      <c r="O14" s="12">
        <v>1</v>
      </c>
      <c r="P14" s="12">
        <v>1</v>
      </c>
      <c r="Q14" s="12">
        <v>1</v>
      </c>
      <c r="R14" s="12">
        <v>1</v>
      </c>
      <c r="S14" s="12">
        <v>1</v>
      </c>
      <c r="T14" s="12">
        <v>1</v>
      </c>
      <c r="U14" s="12">
        <v>1</v>
      </c>
      <c r="V14" s="12">
        <v>1</v>
      </c>
      <c r="W14" s="12">
        <v>1</v>
      </c>
      <c r="X14" s="12">
        <v>1</v>
      </c>
      <c r="Y14" s="12">
        <v>1</v>
      </c>
      <c r="Z14" s="12">
        <v>1</v>
      </c>
      <c r="AB14" s="24" t="s">
        <v>16</v>
      </c>
      <c r="AC14" s="3">
        <f ca="1">OFFSET($B$2,ilesserY,igreaterX)</f>
        <v>0.7</v>
      </c>
      <c r="AD14" s="17"/>
    </row>
    <row r="15" spans="1:30" x14ac:dyDescent="0.25">
      <c r="A15" s="29">
        <v>13</v>
      </c>
      <c r="B15">
        <v>1.4</v>
      </c>
      <c r="C15" s="12">
        <v>0.7</v>
      </c>
      <c r="D15" s="12">
        <v>0.45</v>
      </c>
      <c r="E15" s="12">
        <v>0.2</v>
      </c>
      <c r="F15" s="12">
        <v>0.2</v>
      </c>
      <c r="G15" s="7">
        <v>0.2</v>
      </c>
      <c r="H15" s="13">
        <v>0.2</v>
      </c>
      <c r="I15" s="12">
        <v>0.45</v>
      </c>
      <c r="J15" s="12">
        <v>0.7</v>
      </c>
      <c r="K15" s="12">
        <v>0.95</v>
      </c>
      <c r="L15" s="12">
        <v>1</v>
      </c>
      <c r="M15" s="12">
        <v>1</v>
      </c>
      <c r="N15" s="12">
        <v>1</v>
      </c>
      <c r="O15" s="12">
        <v>1</v>
      </c>
      <c r="P15" s="12">
        <v>1</v>
      </c>
      <c r="Q15" s="12">
        <v>1</v>
      </c>
      <c r="R15" s="12">
        <v>1</v>
      </c>
      <c r="S15" s="12">
        <v>1</v>
      </c>
      <c r="T15" s="12">
        <v>1</v>
      </c>
      <c r="U15" s="12">
        <v>1</v>
      </c>
      <c r="V15" s="12">
        <v>1</v>
      </c>
      <c r="W15" s="12">
        <v>1</v>
      </c>
      <c r="X15" s="12">
        <v>1</v>
      </c>
      <c r="Y15" s="12">
        <v>1</v>
      </c>
      <c r="Z15" s="12">
        <v>1</v>
      </c>
      <c r="AB15" s="26" t="s">
        <v>17</v>
      </c>
      <c r="AC15" s="4">
        <f ca="1">OFFSET($B$2,ilesserY,ilesserX)</f>
        <v>0.45</v>
      </c>
    </row>
    <row r="16" spans="1:30" x14ac:dyDescent="0.25">
      <c r="A16" s="29">
        <v>14</v>
      </c>
      <c r="B16">
        <v>1.6</v>
      </c>
      <c r="C16" s="12">
        <v>0.6</v>
      </c>
      <c r="D16" s="12">
        <v>0.35</v>
      </c>
      <c r="E16" s="12">
        <v>0.1</v>
      </c>
      <c r="F16" s="12">
        <v>0.1</v>
      </c>
      <c r="G16" s="7">
        <v>0.1</v>
      </c>
      <c r="H16" s="13">
        <v>0.1</v>
      </c>
      <c r="I16" s="12">
        <v>0.35</v>
      </c>
      <c r="J16" s="12">
        <v>0.6</v>
      </c>
      <c r="K16" s="12">
        <v>0.85</v>
      </c>
      <c r="L16" s="12">
        <v>1</v>
      </c>
      <c r="M16" s="12">
        <v>1</v>
      </c>
      <c r="N16" s="12">
        <v>1</v>
      </c>
      <c r="O16" s="12">
        <v>1</v>
      </c>
      <c r="P16" s="12">
        <v>1</v>
      </c>
      <c r="Q16" s="12">
        <v>1</v>
      </c>
      <c r="R16" s="12">
        <v>1</v>
      </c>
      <c r="S16" s="12">
        <v>1</v>
      </c>
      <c r="T16" s="12">
        <v>1</v>
      </c>
      <c r="U16" s="12">
        <v>1</v>
      </c>
      <c r="V16" s="12">
        <v>1</v>
      </c>
      <c r="W16" s="12">
        <v>1</v>
      </c>
      <c r="X16" s="12">
        <v>1</v>
      </c>
      <c r="Y16" s="12">
        <v>1</v>
      </c>
      <c r="Z16" s="12">
        <v>1</v>
      </c>
      <c r="AB16" s="26" t="s">
        <v>18</v>
      </c>
      <c r="AC16" s="4">
        <f ca="1">OFFSET($B$2,igreaterY,igreaterX)</f>
        <v>0.6</v>
      </c>
    </row>
    <row r="17" spans="1:30" x14ac:dyDescent="0.25">
      <c r="A17" s="29">
        <v>15</v>
      </c>
      <c r="B17">
        <v>1.8</v>
      </c>
      <c r="C17" s="12">
        <v>0.5</v>
      </c>
      <c r="D17" s="12">
        <v>0.25</v>
      </c>
      <c r="E17" s="12">
        <v>0</v>
      </c>
      <c r="F17" s="12">
        <v>0</v>
      </c>
      <c r="G17" s="7">
        <v>0</v>
      </c>
      <c r="H17" s="13">
        <v>0</v>
      </c>
      <c r="I17" s="12">
        <v>0.25</v>
      </c>
      <c r="J17" s="12">
        <v>0.5</v>
      </c>
      <c r="K17" s="12">
        <v>0.75</v>
      </c>
      <c r="L17" s="12">
        <v>1</v>
      </c>
      <c r="M17" s="12">
        <v>1</v>
      </c>
      <c r="N17" s="12">
        <v>1</v>
      </c>
      <c r="O17" s="12">
        <v>1</v>
      </c>
      <c r="P17" s="12">
        <v>1</v>
      </c>
      <c r="Q17" s="12">
        <v>1</v>
      </c>
      <c r="R17" s="12">
        <v>1</v>
      </c>
      <c r="S17" s="12">
        <v>1</v>
      </c>
      <c r="T17" s="12">
        <v>1</v>
      </c>
      <c r="U17" s="12">
        <v>1</v>
      </c>
      <c r="V17" s="12">
        <v>1</v>
      </c>
      <c r="W17" s="12">
        <v>1</v>
      </c>
      <c r="X17" s="12">
        <v>1</v>
      </c>
      <c r="Y17" s="12">
        <v>1</v>
      </c>
      <c r="Z17" s="12">
        <v>1</v>
      </c>
      <c r="AB17" s="26" t="s">
        <v>19</v>
      </c>
      <c r="AC17" s="4">
        <f ca="1">OFFSET($B$2,igreaterY,ilesserX)</f>
        <v>0.35</v>
      </c>
    </row>
    <row r="18" spans="1:30" s="1" customFormat="1" x14ac:dyDescent="0.25">
      <c r="A18" s="29">
        <v>16</v>
      </c>
      <c r="B18" s="1">
        <v>2</v>
      </c>
      <c r="C18" s="7">
        <v>0.5</v>
      </c>
      <c r="D18" s="7">
        <v>0.25</v>
      </c>
      <c r="E18" s="7">
        <v>0</v>
      </c>
      <c r="F18" s="7">
        <v>0</v>
      </c>
      <c r="G18" s="8">
        <v>0</v>
      </c>
      <c r="H18" s="8">
        <v>0</v>
      </c>
      <c r="I18" s="7">
        <v>0.25</v>
      </c>
      <c r="J18" s="7">
        <v>0.5</v>
      </c>
      <c r="K18" s="7">
        <v>0.75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</v>
      </c>
      <c r="Y18" s="7">
        <v>1</v>
      </c>
      <c r="Z18" s="7">
        <v>1</v>
      </c>
      <c r="AA18"/>
      <c r="AB18" s="27" t="s">
        <v>20</v>
      </c>
      <c r="AC18" s="21">
        <f ca="1">IF(greaterX=lesserX,0,(X-lesserX)/(greaterX-lesserX))</f>
        <v>0.50000000000000044</v>
      </c>
      <c r="AD18"/>
    </row>
    <row r="19" spans="1:30" s="2" customFormat="1" x14ac:dyDescent="0.25">
      <c r="A19" s="29">
        <v>17</v>
      </c>
      <c r="B19" s="2">
        <v>3</v>
      </c>
      <c r="C19" s="13">
        <v>0.5</v>
      </c>
      <c r="D19" s="13">
        <v>0.25</v>
      </c>
      <c r="E19" s="13">
        <v>0</v>
      </c>
      <c r="F19" s="13">
        <v>0</v>
      </c>
      <c r="G19" s="8">
        <v>0</v>
      </c>
      <c r="H19" s="8">
        <v>0</v>
      </c>
      <c r="I19" s="13">
        <v>0.25</v>
      </c>
      <c r="J19" s="13">
        <v>0.5</v>
      </c>
      <c r="K19" s="13">
        <v>0.75</v>
      </c>
      <c r="L19" s="13">
        <v>1</v>
      </c>
      <c r="M19" s="13">
        <v>1</v>
      </c>
      <c r="N19" s="13">
        <v>1</v>
      </c>
      <c r="O19" s="13">
        <v>1</v>
      </c>
      <c r="P19" s="13">
        <v>1</v>
      </c>
      <c r="Q19" s="13">
        <v>1</v>
      </c>
      <c r="R19" s="13">
        <v>1</v>
      </c>
      <c r="S19" s="13">
        <v>1</v>
      </c>
      <c r="T19" s="13">
        <v>1</v>
      </c>
      <c r="U19" s="13">
        <v>1</v>
      </c>
      <c r="V19" s="13">
        <v>1</v>
      </c>
      <c r="W19" s="13">
        <v>1</v>
      </c>
      <c r="X19" s="13">
        <v>1</v>
      </c>
      <c r="Y19" s="13">
        <v>1</v>
      </c>
      <c r="Z19" s="13">
        <v>1</v>
      </c>
      <c r="AA19"/>
      <c r="AB19" s="28" t="s">
        <v>21</v>
      </c>
      <c r="AC19" s="23">
        <f ca="1">IF(greaterY=lesserY,0,(Y-lesserY)/(greaterY-lesserY))</f>
        <v>0.5</v>
      </c>
      <c r="AD19"/>
    </row>
    <row r="20" spans="1:30" x14ac:dyDescent="0.25">
      <c r="A20" s="29">
        <v>18</v>
      </c>
      <c r="B20">
        <v>4</v>
      </c>
      <c r="C20" s="12">
        <v>0.5</v>
      </c>
      <c r="D20" s="12">
        <v>0.25</v>
      </c>
      <c r="E20" s="12">
        <v>0</v>
      </c>
      <c r="F20" s="12">
        <v>0</v>
      </c>
      <c r="G20" s="7">
        <v>0</v>
      </c>
      <c r="H20" s="13">
        <v>0</v>
      </c>
      <c r="I20" s="12">
        <v>0.25</v>
      </c>
      <c r="J20" s="12">
        <v>0.5</v>
      </c>
      <c r="K20" s="12">
        <v>0.75</v>
      </c>
      <c r="L20" s="12">
        <v>1</v>
      </c>
      <c r="M20" s="12">
        <v>1</v>
      </c>
      <c r="N20" s="12">
        <v>1</v>
      </c>
      <c r="O20" s="12">
        <v>1</v>
      </c>
      <c r="P20" s="12">
        <v>1</v>
      </c>
      <c r="Q20" s="12">
        <v>1</v>
      </c>
      <c r="R20" s="12">
        <v>1</v>
      </c>
      <c r="S20" s="12">
        <v>1</v>
      </c>
      <c r="T20" s="12">
        <v>1</v>
      </c>
      <c r="U20" s="12">
        <v>1</v>
      </c>
      <c r="V20" s="12">
        <v>1</v>
      </c>
      <c r="W20" s="12">
        <v>1</v>
      </c>
      <c r="X20" s="12">
        <v>1</v>
      </c>
      <c r="Y20" s="12">
        <v>1</v>
      </c>
      <c r="Z20" s="12">
        <v>1</v>
      </c>
      <c r="AB20" s="26" t="s">
        <v>14</v>
      </c>
      <c r="AC20" s="22">
        <f ca="1">VALll+(VALgl-VALll)*x_int_wgt</f>
        <v>0.57500000000000007</v>
      </c>
    </row>
    <row r="21" spans="1:30" x14ac:dyDescent="0.25">
      <c r="A21" s="29">
        <v>19</v>
      </c>
      <c r="B21">
        <v>5</v>
      </c>
      <c r="C21" s="12">
        <v>0.5</v>
      </c>
      <c r="D21" s="12">
        <v>0.25</v>
      </c>
      <c r="E21" s="12">
        <v>0</v>
      </c>
      <c r="F21" s="12">
        <v>0</v>
      </c>
      <c r="G21" s="7">
        <v>0</v>
      </c>
      <c r="H21" s="13">
        <v>0</v>
      </c>
      <c r="I21" s="12">
        <v>0.25</v>
      </c>
      <c r="J21" s="12">
        <v>0.5</v>
      </c>
      <c r="K21" s="12">
        <v>0.75</v>
      </c>
      <c r="L21" s="12">
        <v>1</v>
      </c>
      <c r="M21" s="12">
        <v>1</v>
      </c>
      <c r="N21" s="12">
        <v>1</v>
      </c>
      <c r="O21" s="12">
        <v>1</v>
      </c>
      <c r="P21" s="12">
        <v>1</v>
      </c>
      <c r="Q21" s="12">
        <v>1</v>
      </c>
      <c r="R21" s="12">
        <v>1</v>
      </c>
      <c r="S21" s="12">
        <v>1</v>
      </c>
      <c r="T21" s="12">
        <v>1</v>
      </c>
      <c r="U21" s="12">
        <v>1</v>
      </c>
      <c r="V21" s="12">
        <v>1</v>
      </c>
      <c r="W21" s="12">
        <v>1</v>
      </c>
      <c r="X21" s="12">
        <v>1</v>
      </c>
      <c r="Y21" s="12">
        <v>1</v>
      </c>
      <c r="Z21" s="12">
        <v>1</v>
      </c>
      <c r="AB21" s="25" t="s">
        <v>15</v>
      </c>
      <c r="AC21" s="6">
        <f ca="1">VALlg+(VALgg-VALlg)*x_int_wgt</f>
        <v>0.47500000000000009</v>
      </c>
    </row>
    <row r="22" spans="1:30" x14ac:dyDescent="0.25">
      <c r="A22" s="29">
        <v>20</v>
      </c>
      <c r="B22">
        <v>6</v>
      </c>
      <c r="C22" s="12">
        <v>0.5</v>
      </c>
      <c r="D22" s="12">
        <v>0.25</v>
      </c>
      <c r="E22" s="12">
        <v>0</v>
      </c>
      <c r="F22" s="12">
        <v>0</v>
      </c>
      <c r="G22" s="7">
        <v>0</v>
      </c>
      <c r="H22" s="13">
        <v>0</v>
      </c>
      <c r="I22" s="12">
        <v>0.25</v>
      </c>
      <c r="J22" s="12">
        <v>0.5</v>
      </c>
      <c r="K22" s="12">
        <v>0.75</v>
      </c>
      <c r="L22" s="12">
        <v>1</v>
      </c>
      <c r="M22" s="12">
        <v>1</v>
      </c>
      <c r="N22" s="12">
        <v>1</v>
      </c>
      <c r="O22" s="12">
        <v>1</v>
      </c>
      <c r="P22" s="12">
        <v>1</v>
      </c>
      <c r="Q22" s="12">
        <v>1</v>
      </c>
      <c r="R22" s="12">
        <v>1</v>
      </c>
      <c r="S22" s="12">
        <v>1</v>
      </c>
      <c r="T22" s="12">
        <v>1</v>
      </c>
      <c r="U22" s="12">
        <v>1</v>
      </c>
      <c r="V22" s="12">
        <v>1</v>
      </c>
      <c r="W22" s="12">
        <v>1</v>
      </c>
      <c r="X22" s="12">
        <v>1</v>
      </c>
      <c r="Y22" s="12">
        <v>1</v>
      </c>
      <c r="Z22" s="12">
        <v>1</v>
      </c>
      <c r="AB22" s="9" t="s">
        <v>13</v>
      </c>
      <c r="AC22" s="32">
        <f ca="1">VALxl+(VALxg-VALxl)*y_int_wgt</f>
        <v>0.52500000000000013</v>
      </c>
    </row>
    <row r="23" spans="1:30" x14ac:dyDescent="0.25">
      <c r="A23" s="29">
        <v>21</v>
      </c>
      <c r="B23">
        <v>7</v>
      </c>
      <c r="C23" s="12">
        <v>0.65</v>
      </c>
      <c r="D23" s="12">
        <v>0.4</v>
      </c>
      <c r="E23" s="12">
        <v>0.15</v>
      </c>
      <c r="F23" s="12">
        <v>0.15</v>
      </c>
      <c r="G23" s="7">
        <v>0.15</v>
      </c>
      <c r="H23" s="13">
        <v>0.15</v>
      </c>
      <c r="I23" s="12">
        <v>0.4</v>
      </c>
      <c r="J23" s="12">
        <v>0.65</v>
      </c>
      <c r="K23" s="12">
        <v>0.9</v>
      </c>
      <c r="L23" s="12">
        <v>1</v>
      </c>
      <c r="M23" s="12">
        <v>1</v>
      </c>
      <c r="N23" s="12">
        <v>1</v>
      </c>
      <c r="O23" s="12">
        <v>1</v>
      </c>
      <c r="P23" s="12">
        <v>1</v>
      </c>
      <c r="Q23" s="12">
        <v>1</v>
      </c>
      <c r="R23" s="12">
        <v>1</v>
      </c>
      <c r="S23" s="12">
        <v>1</v>
      </c>
      <c r="T23" s="12">
        <v>1</v>
      </c>
      <c r="U23" s="12">
        <v>1</v>
      </c>
      <c r="V23" s="12">
        <v>1</v>
      </c>
      <c r="W23" s="12">
        <v>1</v>
      </c>
      <c r="X23" s="12">
        <v>1</v>
      </c>
      <c r="Y23" s="12">
        <v>1</v>
      </c>
      <c r="Z23" s="12">
        <v>1</v>
      </c>
    </row>
    <row r="24" spans="1:30" x14ac:dyDescent="0.25">
      <c r="A24" s="29">
        <v>22</v>
      </c>
      <c r="B24">
        <v>8</v>
      </c>
      <c r="C24" s="12">
        <v>0.8</v>
      </c>
      <c r="D24" s="12">
        <v>0.55000000000000004</v>
      </c>
      <c r="E24" s="12">
        <v>0.3</v>
      </c>
      <c r="F24" s="12">
        <v>0.3</v>
      </c>
      <c r="G24" s="7">
        <v>0.3</v>
      </c>
      <c r="H24" s="13">
        <v>0.3</v>
      </c>
      <c r="I24" s="12">
        <v>0.55000000000000004</v>
      </c>
      <c r="J24" s="12">
        <v>0.8</v>
      </c>
      <c r="K24" s="12">
        <v>1</v>
      </c>
      <c r="L24" s="12">
        <v>1</v>
      </c>
      <c r="M24" s="12">
        <v>1</v>
      </c>
      <c r="N24" s="12">
        <v>1</v>
      </c>
      <c r="O24" s="12">
        <v>1</v>
      </c>
      <c r="P24" s="12">
        <v>1</v>
      </c>
      <c r="Q24" s="12">
        <v>1</v>
      </c>
      <c r="R24" s="12">
        <v>1</v>
      </c>
      <c r="S24" s="12">
        <v>1</v>
      </c>
      <c r="T24" s="12">
        <v>1</v>
      </c>
      <c r="U24" s="12">
        <v>1</v>
      </c>
      <c r="V24" s="12">
        <v>1</v>
      </c>
      <c r="W24" s="12">
        <v>1</v>
      </c>
      <c r="X24" s="12">
        <v>1</v>
      </c>
      <c r="Y24" s="12">
        <v>1</v>
      </c>
      <c r="Z24" s="12">
        <v>1</v>
      </c>
    </row>
    <row r="25" spans="1:30" x14ac:dyDescent="0.25">
      <c r="A25" s="29">
        <v>23</v>
      </c>
      <c r="B25">
        <v>9</v>
      </c>
      <c r="C25" s="12">
        <v>0.95</v>
      </c>
      <c r="D25" s="12">
        <v>0.7</v>
      </c>
      <c r="E25" s="12">
        <v>0.45</v>
      </c>
      <c r="F25" s="12">
        <v>0.45</v>
      </c>
      <c r="G25" s="7">
        <v>0.45</v>
      </c>
      <c r="H25" s="13">
        <v>0.45</v>
      </c>
      <c r="I25" s="12">
        <v>0.7</v>
      </c>
      <c r="J25" s="12">
        <v>0.95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  <c r="P25" s="12">
        <v>1</v>
      </c>
      <c r="Q25" s="12">
        <v>1</v>
      </c>
      <c r="R25" s="12">
        <v>1</v>
      </c>
      <c r="S25" s="12">
        <v>1</v>
      </c>
      <c r="T25" s="12">
        <v>1</v>
      </c>
      <c r="U25" s="12">
        <v>1</v>
      </c>
      <c r="V25" s="12">
        <v>1</v>
      </c>
      <c r="W25" s="12">
        <v>1</v>
      </c>
      <c r="X25" s="12">
        <v>1</v>
      </c>
      <c r="Y25" s="12">
        <v>1</v>
      </c>
      <c r="Z25" s="12">
        <v>1</v>
      </c>
    </row>
    <row r="26" spans="1:30" x14ac:dyDescent="0.25">
      <c r="A26" s="29">
        <v>24</v>
      </c>
      <c r="B26">
        <v>10</v>
      </c>
      <c r="C26" s="12">
        <v>1</v>
      </c>
      <c r="D26" s="12">
        <v>0.85</v>
      </c>
      <c r="E26" s="12">
        <v>0.6</v>
      </c>
      <c r="F26" s="12">
        <v>0.6</v>
      </c>
      <c r="G26" s="7">
        <v>0.6</v>
      </c>
      <c r="H26" s="13">
        <v>0.6</v>
      </c>
      <c r="I26" s="12">
        <v>0.85</v>
      </c>
      <c r="J26" s="12">
        <v>1</v>
      </c>
      <c r="K26" s="12">
        <v>1</v>
      </c>
      <c r="L26" s="12">
        <v>1</v>
      </c>
      <c r="M26" s="12">
        <v>1</v>
      </c>
      <c r="N26" s="12">
        <v>1</v>
      </c>
      <c r="O26" s="12">
        <v>1</v>
      </c>
      <c r="P26" s="12">
        <v>1</v>
      </c>
      <c r="Q26" s="12">
        <v>1</v>
      </c>
      <c r="R26" s="12">
        <v>1</v>
      </c>
      <c r="S26" s="12">
        <v>1</v>
      </c>
      <c r="T26" s="12">
        <v>1</v>
      </c>
      <c r="U26" s="12">
        <v>1</v>
      </c>
      <c r="V26" s="12">
        <v>1</v>
      </c>
      <c r="W26" s="12">
        <v>1</v>
      </c>
      <c r="X26" s="12">
        <v>1</v>
      </c>
      <c r="Y26" s="12">
        <v>1</v>
      </c>
      <c r="Z26" s="12">
        <v>1</v>
      </c>
    </row>
    <row r="27" spans="1:30" x14ac:dyDescent="0.25">
      <c r="A27" s="29">
        <v>25</v>
      </c>
      <c r="B27">
        <v>12</v>
      </c>
      <c r="C27" s="12">
        <v>1</v>
      </c>
      <c r="D27" s="12">
        <v>1</v>
      </c>
      <c r="E27" s="12">
        <v>0.75</v>
      </c>
      <c r="F27" s="12">
        <v>0.75</v>
      </c>
      <c r="G27" s="7">
        <v>0.75</v>
      </c>
      <c r="H27" s="13">
        <v>0.75</v>
      </c>
      <c r="I27" s="12">
        <v>1</v>
      </c>
      <c r="J27" s="12">
        <v>1</v>
      </c>
      <c r="K27" s="12">
        <v>1</v>
      </c>
      <c r="L27" s="12">
        <v>1</v>
      </c>
      <c r="M27" s="12">
        <v>1</v>
      </c>
      <c r="N27" s="12">
        <v>1</v>
      </c>
      <c r="O27" s="12">
        <v>1</v>
      </c>
      <c r="P27" s="12">
        <v>1</v>
      </c>
      <c r="Q27" s="12">
        <v>1</v>
      </c>
      <c r="R27" s="12">
        <v>1</v>
      </c>
      <c r="S27" s="12">
        <v>1</v>
      </c>
      <c r="T27" s="12">
        <v>1</v>
      </c>
      <c r="U27" s="12">
        <v>1</v>
      </c>
      <c r="V27" s="12">
        <v>1</v>
      </c>
      <c r="W27" s="12">
        <v>1</v>
      </c>
      <c r="X27" s="12">
        <v>1</v>
      </c>
      <c r="Y27" s="12">
        <v>1</v>
      </c>
      <c r="Z27" s="12">
        <v>1</v>
      </c>
    </row>
    <row r="28" spans="1:30" x14ac:dyDescent="0.25">
      <c r="A28" s="29">
        <v>26</v>
      </c>
      <c r="B28">
        <v>14</v>
      </c>
      <c r="C28" s="12">
        <v>1</v>
      </c>
      <c r="D28" s="12">
        <v>1</v>
      </c>
      <c r="E28" s="12">
        <v>0.9</v>
      </c>
      <c r="F28" s="12">
        <v>0.9</v>
      </c>
      <c r="G28" s="7">
        <v>0.9</v>
      </c>
      <c r="H28" s="13">
        <v>0.9</v>
      </c>
      <c r="I28" s="12">
        <v>1</v>
      </c>
      <c r="J28" s="12">
        <v>1</v>
      </c>
      <c r="K28" s="12">
        <v>1</v>
      </c>
      <c r="L28" s="12">
        <v>1</v>
      </c>
      <c r="M28" s="12">
        <v>1</v>
      </c>
      <c r="N28" s="12">
        <v>1</v>
      </c>
      <c r="O28" s="12">
        <v>1</v>
      </c>
      <c r="P28" s="12">
        <v>1</v>
      </c>
      <c r="Q28" s="12">
        <v>1</v>
      </c>
      <c r="R28" s="12">
        <v>1</v>
      </c>
      <c r="S28" s="12">
        <v>1</v>
      </c>
      <c r="T28" s="12">
        <v>1</v>
      </c>
      <c r="U28" s="12">
        <v>1</v>
      </c>
      <c r="V28" s="12">
        <v>1</v>
      </c>
      <c r="W28" s="12">
        <v>1</v>
      </c>
      <c r="X28" s="12">
        <v>1</v>
      </c>
      <c r="Y28" s="12">
        <v>1</v>
      </c>
      <c r="Z28" s="12">
        <v>1</v>
      </c>
    </row>
    <row r="29" spans="1:30" x14ac:dyDescent="0.25">
      <c r="A29" s="29">
        <v>27</v>
      </c>
      <c r="B29">
        <v>16</v>
      </c>
      <c r="C29" s="12">
        <v>1</v>
      </c>
      <c r="D29" s="12">
        <v>1</v>
      </c>
      <c r="E29" s="12">
        <v>1</v>
      </c>
      <c r="F29" s="12">
        <v>1</v>
      </c>
      <c r="G29" s="7">
        <v>1</v>
      </c>
      <c r="H29" s="13">
        <v>1</v>
      </c>
      <c r="I29" s="12">
        <v>1</v>
      </c>
      <c r="J29" s="12">
        <v>1</v>
      </c>
      <c r="K29" s="12">
        <v>1</v>
      </c>
      <c r="L29" s="12">
        <v>1</v>
      </c>
      <c r="M29" s="12">
        <v>1</v>
      </c>
      <c r="N29" s="12">
        <v>1</v>
      </c>
      <c r="O29" s="12">
        <v>1</v>
      </c>
      <c r="P29" s="12">
        <v>1</v>
      </c>
      <c r="Q29" s="12">
        <v>1</v>
      </c>
      <c r="R29" s="12">
        <v>1</v>
      </c>
      <c r="S29" s="12">
        <v>1</v>
      </c>
      <c r="T29" s="12">
        <v>1</v>
      </c>
      <c r="U29" s="12">
        <v>1</v>
      </c>
      <c r="V29" s="12">
        <v>1</v>
      </c>
      <c r="W29" s="12">
        <v>1</v>
      </c>
      <c r="X29" s="12">
        <v>1</v>
      </c>
      <c r="Y29" s="12">
        <v>1</v>
      </c>
      <c r="Z29" s="12">
        <v>1</v>
      </c>
    </row>
    <row r="30" spans="1:30" x14ac:dyDescent="0.25">
      <c r="A30" s="29">
        <v>28</v>
      </c>
      <c r="B30">
        <v>18</v>
      </c>
      <c r="C30" s="12">
        <v>1</v>
      </c>
      <c r="D30" s="12">
        <v>1</v>
      </c>
      <c r="E30" s="12">
        <v>1</v>
      </c>
      <c r="F30" s="12">
        <v>1</v>
      </c>
      <c r="G30" s="7">
        <v>1</v>
      </c>
      <c r="H30" s="13">
        <v>1</v>
      </c>
      <c r="I30" s="12">
        <v>1</v>
      </c>
      <c r="J30" s="12">
        <v>1</v>
      </c>
      <c r="K30" s="12">
        <v>1</v>
      </c>
      <c r="L30" s="12">
        <v>1</v>
      </c>
      <c r="M30" s="12">
        <v>1</v>
      </c>
      <c r="N30" s="12">
        <v>1</v>
      </c>
      <c r="O30" s="12">
        <v>1</v>
      </c>
      <c r="P30" s="12">
        <v>1</v>
      </c>
      <c r="Q30" s="12">
        <v>1</v>
      </c>
      <c r="R30" s="12">
        <v>1</v>
      </c>
      <c r="S30" s="12">
        <v>1</v>
      </c>
      <c r="T30" s="12">
        <v>1</v>
      </c>
      <c r="U30" s="12">
        <v>1</v>
      </c>
      <c r="V30" s="12">
        <v>1</v>
      </c>
      <c r="W30" s="12">
        <v>1</v>
      </c>
      <c r="X30" s="12">
        <v>1</v>
      </c>
      <c r="Y30" s="12">
        <v>1</v>
      </c>
      <c r="Z30" s="12">
        <v>1</v>
      </c>
    </row>
    <row r="31" spans="1:30" x14ac:dyDescent="0.25">
      <c r="A31" s="29">
        <v>29</v>
      </c>
      <c r="B31">
        <v>20</v>
      </c>
      <c r="C31" s="12">
        <v>1</v>
      </c>
      <c r="D31" s="12">
        <v>1</v>
      </c>
      <c r="E31" s="12">
        <v>1</v>
      </c>
      <c r="F31" s="12">
        <v>1</v>
      </c>
      <c r="G31" s="7">
        <v>1</v>
      </c>
      <c r="H31" s="13">
        <v>1</v>
      </c>
      <c r="I31" s="12">
        <v>1</v>
      </c>
      <c r="J31" s="12">
        <v>1</v>
      </c>
      <c r="K31" s="12">
        <v>1</v>
      </c>
      <c r="L31" s="12">
        <v>1</v>
      </c>
      <c r="M31" s="12">
        <v>1</v>
      </c>
      <c r="N31" s="12">
        <v>1</v>
      </c>
      <c r="O31" s="12">
        <v>1</v>
      </c>
      <c r="P31" s="12">
        <v>1</v>
      </c>
      <c r="Q31" s="12">
        <v>1</v>
      </c>
      <c r="R31" s="12">
        <v>1</v>
      </c>
      <c r="S31" s="12">
        <v>1</v>
      </c>
      <c r="T31" s="12">
        <v>1</v>
      </c>
      <c r="U31" s="12">
        <v>1</v>
      </c>
      <c r="V31" s="12">
        <v>1</v>
      </c>
      <c r="W31" s="12">
        <v>1</v>
      </c>
      <c r="X31" s="12">
        <v>1</v>
      </c>
      <c r="Y31" s="12">
        <v>1</v>
      </c>
      <c r="Z31" s="12">
        <v>1</v>
      </c>
    </row>
    <row r="32" spans="1:30" x14ac:dyDescent="0.25">
      <c r="A32" s="29">
        <v>30</v>
      </c>
      <c r="B32">
        <v>22</v>
      </c>
      <c r="C32" s="12">
        <v>1</v>
      </c>
      <c r="D32" s="12">
        <v>1</v>
      </c>
      <c r="E32" s="12">
        <v>1</v>
      </c>
      <c r="F32" s="12">
        <v>1</v>
      </c>
      <c r="G32" s="7">
        <v>1</v>
      </c>
      <c r="H32" s="13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  <c r="N32" s="12">
        <v>1</v>
      </c>
      <c r="O32" s="12">
        <v>1</v>
      </c>
      <c r="P32" s="12">
        <v>1</v>
      </c>
      <c r="Q32" s="12">
        <v>1</v>
      </c>
      <c r="R32" s="12">
        <v>1</v>
      </c>
      <c r="S32" s="12">
        <v>1</v>
      </c>
      <c r="T32" s="12">
        <v>1</v>
      </c>
      <c r="U32" s="12">
        <v>1</v>
      </c>
      <c r="V32" s="12">
        <v>1</v>
      </c>
      <c r="W32" s="12">
        <v>1</v>
      </c>
      <c r="X32" s="12">
        <v>1</v>
      </c>
      <c r="Y32" s="12">
        <v>1</v>
      </c>
      <c r="Z32" s="12">
        <v>1</v>
      </c>
    </row>
    <row r="33" spans="1:26" x14ac:dyDescent="0.25">
      <c r="A33" s="29">
        <v>31</v>
      </c>
      <c r="B33">
        <v>24</v>
      </c>
      <c r="C33" s="12">
        <v>1</v>
      </c>
      <c r="D33" s="12">
        <v>1</v>
      </c>
      <c r="E33" s="12">
        <v>1</v>
      </c>
      <c r="F33" s="12">
        <v>1</v>
      </c>
      <c r="G33" s="7">
        <v>1</v>
      </c>
      <c r="H33" s="13">
        <v>1</v>
      </c>
      <c r="I33" s="12">
        <v>1</v>
      </c>
      <c r="J33" s="12">
        <v>1</v>
      </c>
      <c r="K33" s="12">
        <v>1</v>
      </c>
      <c r="L33" s="12">
        <v>1</v>
      </c>
      <c r="M33" s="12">
        <v>1</v>
      </c>
      <c r="N33" s="12">
        <v>1</v>
      </c>
      <c r="O33" s="12">
        <v>1</v>
      </c>
      <c r="P33" s="12">
        <v>1</v>
      </c>
      <c r="Q33" s="12">
        <v>1</v>
      </c>
      <c r="R33" s="12">
        <v>1</v>
      </c>
      <c r="S33" s="12">
        <v>1</v>
      </c>
      <c r="T33" s="12">
        <v>1</v>
      </c>
      <c r="U33" s="12">
        <v>1</v>
      </c>
      <c r="V33" s="12">
        <v>1</v>
      </c>
      <c r="W33" s="12">
        <v>1</v>
      </c>
      <c r="X33" s="12">
        <v>1</v>
      </c>
      <c r="Y33" s="12">
        <v>1</v>
      </c>
      <c r="Z33" s="12">
        <v>1</v>
      </c>
    </row>
    <row r="34" spans="1:26" x14ac:dyDescent="0.25">
      <c r="A34" s="29">
        <v>32</v>
      </c>
      <c r="B34">
        <v>26</v>
      </c>
      <c r="C34" s="12">
        <v>1</v>
      </c>
      <c r="D34" s="12">
        <v>1</v>
      </c>
      <c r="E34" s="12">
        <v>1</v>
      </c>
      <c r="F34" s="12">
        <v>1</v>
      </c>
      <c r="G34" s="7">
        <v>1</v>
      </c>
      <c r="H34" s="13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  <c r="N34" s="12">
        <v>1</v>
      </c>
      <c r="O34" s="12">
        <v>1</v>
      </c>
      <c r="P34" s="12">
        <v>1</v>
      </c>
      <c r="Q34" s="12">
        <v>1</v>
      </c>
      <c r="R34" s="12">
        <v>1</v>
      </c>
      <c r="S34" s="12">
        <v>1</v>
      </c>
      <c r="T34" s="12">
        <v>1</v>
      </c>
      <c r="U34" s="12">
        <v>1</v>
      </c>
      <c r="V34" s="12">
        <v>1</v>
      </c>
      <c r="W34" s="12">
        <v>1</v>
      </c>
      <c r="X34" s="12">
        <v>1</v>
      </c>
      <c r="Y34" s="12">
        <v>1</v>
      </c>
      <c r="Z34" s="12">
        <v>1</v>
      </c>
    </row>
    <row r="35" spans="1:26" x14ac:dyDescent="0.25">
      <c r="A35" s="29">
        <v>33</v>
      </c>
      <c r="B35">
        <v>28</v>
      </c>
      <c r="C35" s="12">
        <v>1</v>
      </c>
      <c r="D35" s="12">
        <v>1</v>
      </c>
      <c r="E35" s="12">
        <v>1</v>
      </c>
      <c r="F35" s="12">
        <v>1</v>
      </c>
      <c r="G35" s="7">
        <v>1</v>
      </c>
      <c r="H35" s="13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1</v>
      </c>
      <c r="O35" s="12">
        <v>1</v>
      </c>
      <c r="P35" s="12">
        <v>1</v>
      </c>
      <c r="Q35" s="12">
        <v>1</v>
      </c>
      <c r="R35" s="12">
        <v>1</v>
      </c>
      <c r="S35" s="12">
        <v>1</v>
      </c>
      <c r="T35" s="12">
        <v>1</v>
      </c>
      <c r="U35" s="12">
        <v>1</v>
      </c>
      <c r="V35" s="12">
        <v>1</v>
      </c>
      <c r="W35" s="12">
        <v>1</v>
      </c>
      <c r="X35" s="12">
        <v>1</v>
      </c>
      <c r="Y35" s="12">
        <v>1</v>
      </c>
      <c r="Z35" s="12">
        <v>1</v>
      </c>
    </row>
    <row r="36" spans="1:26" x14ac:dyDescent="0.25">
      <c r="A36" s="29">
        <v>34</v>
      </c>
      <c r="B36">
        <v>30</v>
      </c>
      <c r="C36" s="12">
        <v>1</v>
      </c>
      <c r="D36" s="12">
        <v>1</v>
      </c>
      <c r="E36" s="12">
        <v>1</v>
      </c>
      <c r="F36" s="12">
        <v>1</v>
      </c>
      <c r="G36" s="7">
        <v>1</v>
      </c>
      <c r="H36" s="13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1</v>
      </c>
      <c r="O36" s="12">
        <v>1</v>
      </c>
      <c r="P36" s="12">
        <v>1</v>
      </c>
      <c r="Q36" s="12">
        <v>1</v>
      </c>
      <c r="R36" s="12">
        <v>1</v>
      </c>
      <c r="S36" s="12">
        <v>1</v>
      </c>
      <c r="T36" s="12">
        <v>1</v>
      </c>
      <c r="U36" s="12">
        <v>1</v>
      </c>
      <c r="V36" s="12">
        <v>1</v>
      </c>
      <c r="W36" s="12">
        <v>1</v>
      </c>
      <c r="X36" s="12">
        <v>1</v>
      </c>
      <c r="Y36" s="12">
        <v>1</v>
      </c>
      <c r="Z36" s="12">
        <v>1</v>
      </c>
    </row>
    <row r="37" spans="1:26" x14ac:dyDescent="0.25">
      <c r="A37" s="29">
        <v>35</v>
      </c>
      <c r="B37">
        <v>35</v>
      </c>
      <c r="C37" s="12">
        <v>1</v>
      </c>
      <c r="D37" s="12">
        <v>1</v>
      </c>
      <c r="E37" s="12">
        <v>1</v>
      </c>
      <c r="F37" s="12">
        <v>1</v>
      </c>
      <c r="G37" s="7">
        <v>1</v>
      </c>
      <c r="H37" s="13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  <c r="P37" s="12">
        <v>1</v>
      </c>
      <c r="Q37" s="12">
        <v>1</v>
      </c>
      <c r="R37" s="12">
        <v>1</v>
      </c>
      <c r="S37" s="12">
        <v>1</v>
      </c>
      <c r="T37" s="12">
        <v>1</v>
      </c>
      <c r="U37" s="12">
        <v>1</v>
      </c>
      <c r="V37" s="12">
        <v>1</v>
      </c>
      <c r="W37" s="12">
        <v>1</v>
      </c>
      <c r="X37" s="12">
        <v>1</v>
      </c>
      <c r="Y37" s="12">
        <v>1</v>
      </c>
      <c r="Z37" s="12">
        <v>1</v>
      </c>
    </row>
    <row r="38" spans="1:26" x14ac:dyDescent="0.25">
      <c r="A38" s="29">
        <v>36</v>
      </c>
      <c r="B38">
        <v>40</v>
      </c>
      <c r="C38" s="12">
        <v>1</v>
      </c>
      <c r="D38" s="12">
        <v>1</v>
      </c>
      <c r="E38" s="12">
        <v>1</v>
      </c>
      <c r="F38" s="12">
        <v>1</v>
      </c>
      <c r="G38" s="7">
        <v>1</v>
      </c>
      <c r="H38" s="13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  <c r="P38" s="12">
        <v>1</v>
      </c>
      <c r="Q38" s="12">
        <v>1</v>
      </c>
      <c r="R38" s="12">
        <v>1</v>
      </c>
      <c r="S38" s="12">
        <v>1</v>
      </c>
      <c r="T38" s="12">
        <v>1</v>
      </c>
      <c r="U38" s="12">
        <v>1</v>
      </c>
      <c r="V38" s="12">
        <v>1</v>
      </c>
      <c r="W38" s="12">
        <v>1</v>
      </c>
      <c r="X38" s="12">
        <v>1</v>
      </c>
      <c r="Y38" s="12">
        <v>1</v>
      </c>
      <c r="Z38" s="12">
        <v>1</v>
      </c>
    </row>
    <row r="39" spans="1:26" x14ac:dyDescent="0.25">
      <c r="A39" s="29">
        <v>37</v>
      </c>
      <c r="B39">
        <v>45</v>
      </c>
      <c r="C39" s="12">
        <v>1</v>
      </c>
      <c r="D39" s="12">
        <v>1</v>
      </c>
      <c r="E39" s="12">
        <v>1</v>
      </c>
      <c r="F39" s="12">
        <v>1</v>
      </c>
      <c r="G39" s="7">
        <v>1</v>
      </c>
      <c r="H39" s="13">
        <v>1</v>
      </c>
      <c r="I39" s="12">
        <v>1</v>
      </c>
      <c r="J39" s="12">
        <v>1</v>
      </c>
      <c r="K39" s="12">
        <v>1</v>
      </c>
      <c r="L39" s="12">
        <v>1</v>
      </c>
      <c r="M39" s="12">
        <v>1</v>
      </c>
      <c r="N39" s="12">
        <v>1</v>
      </c>
      <c r="O39" s="12">
        <v>1</v>
      </c>
      <c r="P39" s="12">
        <v>1</v>
      </c>
      <c r="Q39" s="12">
        <v>1</v>
      </c>
      <c r="R39" s="12">
        <v>1</v>
      </c>
      <c r="S39" s="12">
        <v>1</v>
      </c>
      <c r="T39" s="12">
        <v>1</v>
      </c>
      <c r="U39" s="12">
        <v>1</v>
      </c>
      <c r="V39" s="12">
        <v>1</v>
      </c>
      <c r="W39" s="12">
        <v>1</v>
      </c>
      <c r="X39" s="12">
        <v>1</v>
      </c>
      <c r="Y39" s="12">
        <v>1</v>
      </c>
      <c r="Z39" s="12">
        <v>1</v>
      </c>
    </row>
    <row r="40" spans="1:26" x14ac:dyDescent="0.25">
      <c r="A40" s="29">
        <v>38</v>
      </c>
      <c r="B40">
        <v>100</v>
      </c>
      <c r="C40" s="12">
        <v>1</v>
      </c>
      <c r="D40" s="12">
        <v>1</v>
      </c>
      <c r="E40" s="12">
        <v>1</v>
      </c>
      <c r="F40" s="12">
        <v>1</v>
      </c>
      <c r="G40" s="7">
        <v>1</v>
      </c>
      <c r="H40" s="13">
        <v>1</v>
      </c>
      <c r="I40" s="12">
        <v>1</v>
      </c>
      <c r="J40" s="12">
        <v>1</v>
      </c>
      <c r="K40" s="12">
        <v>1</v>
      </c>
      <c r="L40" s="12">
        <v>1</v>
      </c>
      <c r="M40" s="12">
        <v>1</v>
      </c>
      <c r="N40" s="12">
        <v>1</v>
      </c>
      <c r="O40" s="12">
        <v>1</v>
      </c>
      <c r="P40" s="12">
        <v>1</v>
      </c>
      <c r="Q40" s="12">
        <v>1</v>
      </c>
      <c r="R40" s="12">
        <v>1</v>
      </c>
      <c r="S40" s="12">
        <v>1</v>
      </c>
      <c r="T40" s="12">
        <v>1</v>
      </c>
      <c r="U40" s="12">
        <v>1</v>
      </c>
      <c r="V40" s="12">
        <v>1</v>
      </c>
      <c r="W40" s="12">
        <v>1</v>
      </c>
      <c r="X40" s="12">
        <v>1</v>
      </c>
      <c r="Y40" s="12">
        <v>1</v>
      </c>
      <c r="Z40" s="12">
        <v>1</v>
      </c>
    </row>
    <row r="41" spans="1:26" x14ac:dyDescent="0.25">
      <c r="A41" s="29">
        <v>39</v>
      </c>
      <c r="B41">
        <v>400</v>
      </c>
      <c r="C41" s="12">
        <v>1</v>
      </c>
      <c r="D41" s="12">
        <v>1</v>
      </c>
      <c r="E41" s="12">
        <v>1</v>
      </c>
      <c r="F41" s="12">
        <v>1</v>
      </c>
      <c r="G41" s="7">
        <v>1</v>
      </c>
      <c r="H41" s="13">
        <v>1</v>
      </c>
      <c r="I41" s="12">
        <v>1</v>
      </c>
      <c r="J41" s="12">
        <v>1</v>
      </c>
      <c r="K41" s="12">
        <v>1</v>
      </c>
      <c r="L41" s="12">
        <v>1</v>
      </c>
      <c r="M41" s="12">
        <v>1</v>
      </c>
      <c r="N41" s="12">
        <v>1</v>
      </c>
      <c r="O41" s="12">
        <v>1</v>
      </c>
      <c r="P41" s="12">
        <v>1</v>
      </c>
      <c r="Q41" s="12">
        <v>1</v>
      </c>
      <c r="R41" s="12">
        <v>1</v>
      </c>
      <c r="S41" s="12">
        <v>1</v>
      </c>
      <c r="T41" s="12">
        <v>1</v>
      </c>
      <c r="U41" s="12">
        <v>1</v>
      </c>
      <c r="V41" s="12">
        <v>1</v>
      </c>
      <c r="W41" s="12">
        <v>1</v>
      </c>
      <c r="X41" s="12">
        <v>1</v>
      </c>
      <c r="Y41" s="12">
        <v>1</v>
      </c>
      <c r="Z41" s="12">
        <v>1</v>
      </c>
    </row>
  </sheetData>
  <conditionalFormatting sqref="B3:B41">
    <cfRule type="cellIs" dxfId="9" priority="9" operator="equal">
      <formula>$AC$13</formula>
    </cfRule>
    <cfRule type="cellIs" dxfId="8" priority="10" operator="equal">
      <formula>$AC$12</formula>
    </cfRule>
  </conditionalFormatting>
  <conditionalFormatting sqref="C2:Z2">
    <cfRule type="cellIs" dxfId="7" priority="11" operator="equal">
      <formula>$AC$11</formula>
    </cfRule>
    <cfRule type="cellIs" dxfId="6" priority="12" operator="equal">
      <formula>$AC$10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mortality_SPPA</vt:lpstr>
      <vt:lpstr>greaterX</vt:lpstr>
      <vt:lpstr>greaterY</vt:lpstr>
      <vt:lpstr>igreaterX</vt:lpstr>
      <vt:lpstr>igreaterY</vt:lpstr>
      <vt:lpstr>ilesserX</vt:lpstr>
      <vt:lpstr>ilesserY</vt:lpstr>
      <vt:lpstr>lesserX</vt:lpstr>
      <vt:lpstr>lesserY</vt:lpstr>
      <vt:lpstr>VALgg</vt:lpstr>
      <vt:lpstr>VALgl</vt:lpstr>
      <vt:lpstr>VALlg</vt:lpstr>
      <vt:lpstr>VALll</vt:lpstr>
      <vt:lpstr>VALxg</vt:lpstr>
      <vt:lpstr>VALxl</vt:lpstr>
      <vt:lpstr>VALxy</vt:lpstr>
      <vt:lpstr>X</vt:lpstr>
      <vt:lpstr>x_int_wgt</vt:lpstr>
      <vt:lpstr>Y</vt:lpstr>
      <vt:lpstr>y_int_wgt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White</dc:creator>
  <cp:lastModifiedBy>Eric White</cp:lastModifiedBy>
  <dcterms:created xsi:type="dcterms:W3CDTF">2026-07-25T22:52:09Z</dcterms:created>
  <dcterms:modified xsi:type="dcterms:W3CDTF">2026-07-29T19:16:13Z</dcterms:modified>
</cp:coreProperties>
</file>