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ric\git\ICM_LAVegMod\"/>
    </mc:Choice>
  </mc:AlternateContent>
  <xr:revisionPtr revIDLastSave="0" documentId="13_ncr:9_{B679324A-052C-4EC2-9EB2-02AED2005EB1}" xr6:coauthVersionLast="47" xr6:coauthVersionMax="47" xr10:uidLastSave="{00000000-0000-0000-0000-000000000000}"/>
  <bookViews>
    <workbookView xWindow="-120" yWindow="-120" windowWidth="29040" windowHeight="15720" xr2:uid="{74F289D0-3EE8-459D-9BEF-E30A003D3322}"/>
  </bookViews>
  <sheets>
    <sheet name="mortality_SPPA" sheetId="1" r:id="rId1"/>
  </sheets>
  <definedNames>
    <definedName name="A">mortality_SPPA!$AB$8</definedName>
    <definedName name="B">mortality_SPPA!$AB$7</definedName>
    <definedName name="L">mortality_SPPA!$AB$6</definedName>
    <definedName name="R_">mortality_SPPA!$AB$5</definedName>
    <definedName name="VLA">mortality_SPPA!$AB$10</definedName>
    <definedName name="VLB">mortality_SPPA!$AB$12</definedName>
    <definedName name="VRA">mortality_SPPA!$AB$9</definedName>
    <definedName name="VRB">mortality_SPPA!$AB$11</definedName>
    <definedName name="VXA">mortality_SPPA!$AB$13</definedName>
    <definedName name="VXB">mortality_SPPA!$AB$14</definedName>
    <definedName name="VXY">mortality_SPPA!$AB$15</definedName>
    <definedName name="X">mortality_SPPA!$AB$3</definedName>
    <definedName name="Y">mortality_SPPA!$AB$4</definedName>
  </definedNames>
  <calcPr calcId="0"/>
</workbook>
</file>

<file path=xl/calcChain.xml><?xml version="1.0" encoding="utf-8"?>
<calcChain xmlns="http://schemas.openxmlformats.org/spreadsheetml/2006/main">
  <c r="AB8" i="1" l="1"/>
  <c r="AC8" i="1" s="1"/>
  <c r="AB7" i="1"/>
  <c r="AC7" i="1" s="1"/>
  <c r="AB5" i="1"/>
  <c r="AB6" i="1"/>
  <c r="AC6" i="1"/>
  <c r="AC5" i="1"/>
  <c r="AB12" i="1" l="1"/>
  <c r="AB10" i="1"/>
  <c r="AB9" i="1" l="1"/>
  <c r="AB13" i="1" s="1"/>
  <c r="AB11" i="1" l="1"/>
  <c r="AB14" i="1" s="1"/>
  <c r="AB15" i="1" s="1"/>
</calcChain>
</file>

<file path=xl/sharedStrings.xml><?xml version="1.0" encoding="utf-8"?>
<sst xmlns="http://schemas.openxmlformats.org/spreadsheetml/2006/main" count="16" uniqueCount="16">
  <si>
    <t>SPPA</t>
  </si>
  <si>
    <t>X</t>
  </si>
  <si>
    <t>Y</t>
  </si>
  <si>
    <t>L</t>
  </si>
  <si>
    <t>B</t>
  </si>
  <si>
    <t>A</t>
  </si>
  <si>
    <t>VLA</t>
  </si>
  <si>
    <t>VRA</t>
  </si>
  <si>
    <t>VRB</t>
  </si>
  <si>
    <t>VLB</t>
  </si>
  <si>
    <t>VXA</t>
  </si>
  <si>
    <t>VXB</t>
  </si>
  <si>
    <t>VXY</t>
  </si>
  <si>
    <t>R_</t>
  </si>
  <si>
    <t>WLV</t>
  </si>
  <si>
    <t>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</si>
</sst>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61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13" xfId="0" applyFill="1" applyBorder="1"/>
    <xf numFmtId="0" fontId="0" fillId="0" borderId="11" xfId="0" applyFill="1" applyBorder="1"/>
    <xf numFmtId="0" fontId="0" fillId="0" borderId="15" xfId="0" applyFill="1" applyBorder="1"/>
    <xf numFmtId="0" fontId="0" fillId="0" borderId="0" xfId="0" applyFill="1"/>
    <xf numFmtId="0" fontId="8" fillId="0" borderId="0" xfId="8" applyFill="1"/>
    <xf numFmtId="0" fontId="6" fillId="0" borderId="0" xfId="6" applyFill="1"/>
    <xf numFmtId="0" fontId="0" fillId="0" borderId="12" xfId="0" applyFill="1" applyBorder="1"/>
    <xf numFmtId="0" fontId="0" fillId="0" borderId="14" xfId="0" applyFill="1" applyBorder="1"/>
    <xf numFmtId="0" fontId="0" fillId="0" borderId="16" xfId="0" applyFill="1" applyBorder="1"/>
    <xf numFmtId="2" fontId="0" fillId="0" borderId="12" xfId="0" applyNumberFormat="1" applyFill="1" applyBorder="1"/>
    <xf numFmtId="2" fontId="0" fillId="0" borderId="16" xfId="0" applyNumberFormat="1" applyFill="1" applyBorder="1"/>
    <xf numFmtId="0" fontId="18" fillId="0" borderId="0" xfId="8" applyFont="1" applyFill="1"/>
    <xf numFmtId="0" fontId="18" fillId="0" borderId="0" xfId="7" applyFont="1" applyFill="1"/>
    <xf numFmtId="0" fontId="19" fillId="2" borderId="17" xfId="6" applyFont="1" applyBorder="1"/>
    <xf numFmtId="2" fontId="19" fillId="2" borderId="18" xfId="6" applyNumberFormat="1" applyFont="1" applyBorder="1"/>
    <xf numFmtId="0" fontId="19" fillId="2" borderId="15" xfId="6" applyFont="1" applyBorder="1"/>
    <xf numFmtId="0" fontId="19" fillId="2" borderId="16" xfId="6" applyFont="1" applyBorder="1"/>
    <xf numFmtId="0" fontId="18" fillId="0" borderId="0" xfId="0" applyFont="1" applyFill="1"/>
    <xf numFmtId="0" fontId="18" fillId="0" borderId="0" xfId="6" applyFont="1" applyFill="1"/>
    <xf numFmtId="0" fontId="16" fillId="0" borderId="19" xfId="0" applyFont="1" applyFill="1" applyBorder="1"/>
    <xf numFmtId="0" fontId="19" fillId="2" borderId="18" xfId="6" applyFont="1" applyBorder="1"/>
    <xf numFmtId="0" fontId="16" fillId="0" borderId="10" xfId="0" applyFont="1" applyFill="1" applyBorder="1"/>
    <xf numFmtId="0" fontId="0" fillId="0" borderId="12" xfId="0" applyFill="1" applyBorder="1" applyAlignment="1">
      <alignment horizontal="left"/>
    </xf>
    <xf numFmtId="0" fontId="0" fillId="0" borderId="14" xfId="0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0" fillId="0" borderId="0" xfId="0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2FF6B-1B68-40A9-9A24-33398F0F1ED6}">
  <dimension ref="A1:AC40"/>
  <sheetViews>
    <sheetView tabSelected="1" workbookViewId="0">
      <selection activeCell="AB5" sqref="AB5"/>
    </sheetView>
  </sheetViews>
  <sheetFormatPr defaultRowHeight="15" x14ac:dyDescent="0.25"/>
  <cols>
    <col min="1" max="5" width="9.140625" style="4"/>
    <col min="6" max="6" width="9.140625" style="12"/>
    <col min="7" max="7" width="9.140625" style="6"/>
    <col min="8" max="16384" width="9.140625" style="4"/>
  </cols>
  <sheetData>
    <row r="1" spans="1:29" x14ac:dyDescent="0.25">
      <c r="A1" s="4" t="s">
        <v>0</v>
      </c>
      <c r="B1" s="4">
        <v>0</v>
      </c>
      <c r="C1" s="4">
        <v>0.03</v>
      </c>
      <c r="D1" s="4">
        <v>0.06</v>
      </c>
      <c r="E1" s="4">
        <v>0.09</v>
      </c>
      <c r="F1" s="12">
        <v>0.12</v>
      </c>
      <c r="G1" s="6">
        <v>0.15</v>
      </c>
      <c r="H1" s="4">
        <v>0.18</v>
      </c>
      <c r="I1" s="4">
        <v>0.21</v>
      </c>
      <c r="J1" s="4">
        <v>0.24</v>
      </c>
      <c r="K1" s="4">
        <v>0.27</v>
      </c>
      <c r="L1" s="4">
        <v>0.3</v>
      </c>
      <c r="M1" s="4">
        <v>0.33</v>
      </c>
      <c r="N1" s="4">
        <v>0.36</v>
      </c>
      <c r="O1" s="4">
        <v>0.39</v>
      </c>
      <c r="P1" s="4">
        <v>0.42</v>
      </c>
      <c r="Q1" s="4">
        <v>0.45</v>
      </c>
      <c r="R1" s="4">
        <v>0.48</v>
      </c>
      <c r="S1" s="4">
        <v>0.51</v>
      </c>
      <c r="T1" s="4">
        <v>0.54</v>
      </c>
      <c r="U1" s="4">
        <v>0.56999999999999995</v>
      </c>
      <c r="V1" s="4">
        <v>0.6</v>
      </c>
      <c r="W1" s="4">
        <v>0.63</v>
      </c>
      <c r="X1" s="4">
        <v>0.66</v>
      </c>
      <c r="Y1" s="4">
        <v>10</v>
      </c>
    </row>
    <row r="2" spans="1:29" x14ac:dyDescent="0.25">
      <c r="A2" s="4">
        <v>0</v>
      </c>
      <c r="B2" s="18">
        <v>1</v>
      </c>
      <c r="C2" s="18">
        <v>1</v>
      </c>
      <c r="D2" s="18">
        <v>1</v>
      </c>
      <c r="E2" s="18">
        <v>1</v>
      </c>
      <c r="F2" s="12">
        <v>1</v>
      </c>
      <c r="G2" s="19">
        <v>1</v>
      </c>
      <c r="H2" s="18">
        <v>1</v>
      </c>
      <c r="I2" s="18">
        <v>1</v>
      </c>
      <c r="J2" s="18">
        <v>1</v>
      </c>
      <c r="K2" s="18">
        <v>1</v>
      </c>
      <c r="L2" s="18">
        <v>1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18">
        <v>1</v>
      </c>
      <c r="T2" s="18">
        <v>1</v>
      </c>
      <c r="U2" s="18">
        <v>1</v>
      </c>
      <c r="V2" s="18">
        <v>1</v>
      </c>
      <c r="W2" s="18">
        <v>1</v>
      </c>
      <c r="X2" s="18">
        <v>1</v>
      </c>
      <c r="Y2" s="18">
        <v>1</v>
      </c>
    </row>
    <row r="3" spans="1:29" x14ac:dyDescent="0.25">
      <c r="A3" s="4">
        <v>0.1</v>
      </c>
      <c r="B3" s="18">
        <v>1</v>
      </c>
      <c r="C3" s="18">
        <v>1</v>
      </c>
      <c r="D3" s="18">
        <v>1</v>
      </c>
      <c r="E3" s="18">
        <v>1</v>
      </c>
      <c r="F3" s="12">
        <v>1</v>
      </c>
      <c r="G3" s="19">
        <v>1</v>
      </c>
      <c r="H3" s="18">
        <v>1</v>
      </c>
      <c r="I3" s="18">
        <v>1</v>
      </c>
      <c r="J3" s="18">
        <v>1</v>
      </c>
      <c r="K3" s="18">
        <v>1</v>
      </c>
      <c r="L3" s="18">
        <v>1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18">
        <v>1</v>
      </c>
      <c r="T3" s="18">
        <v>1</v>
      </c>
      <c r="U3" s="18">
        <v>1</v>
      </c>
      <c r="V3" s="18">
        <v>1</v>
      </c>
      <c r="W3" s="18">
        <v>1</v>
      </c>
      <c r="X3" s="18">
        <v>1</v>
      </c>
      <c r="Y3" s="18">
        <v>1</v>
      </c>
      <c r="AA3" s="14" t="s">
        <v>1</v>
      </c>
      <c r="AB3" s="21">
        <v>0.1258</v>
      </c>
      <c r="AC3" s="22" t="s">
        <v>14</v>
      </c>
    </row>
    <row r="4" spans="1:29" x14ac:dyDescent="0.25">
      <c r="A4" s="4">
        <v>0.2</v>
      </c>
      <c r="B4" s="18">
        <v>1</v>
      </c>
      <c r="C4" s="18">
        <v>1</v>
      </c>
      <c r="D4" s="18">
        <v>1</v>
      </c>
      <c r="E4" s="18">
        <v>1</v>
      </c>
      <c r="F4" s="12">
        <v>1</v>
      </c>
      <c r="G4" s="19">
        <v>1</v>
      </c>
      <c r="H4" s="18">
        <v>1</v>
      </c>
      <c r="I4" s="18">
        <v>1</v>
      </c>
      <c r="J4" s="18">
        <v>1</v>
      </c>
      <c r="K4" s="18">
        <v>1</v>
      </c>
      <c r="L4" s="18">
        <v>1</v>
      </c>
      <c r="M4" s="18">
        <v>1</v>
      </c>
      <c r="N4" s="18">
        <v>1</v>
      </c>
      <c r="O4" s="18">
        <v>1</v>
      </c>
      <c r="P4" s="18">
        <v>1</v>
      </c>
      <c r="Q4" s="18">
        <v>1</v>
      </c>
      <c r="R4" s="18">
        <v>1</v>
      </c>
      <c r="S4" s="18">
        <v>1</v>
      </c>
      <c r="T4" s="18">
        <v>1</v>
      </c>
      <c r="U4" s="18">
        <v>1</v>
      </c>
      <c r="V4" s="18">
        <v>1</v>
      </c>
      <c r="W4" s="18">
        <v>1</v>
      </c>
      <c r="X4" s="18">
        <v>1</v>
      </c>
      <c r="Y4" s="18">
        <v>1</v>
      </c>
      <c r="AA4" s="16" t="s">
        <v>2</v>
      </c>
      <c r="AB4" s="17">
        <v>2.3199999999999998</v>
      </c>
      <c r="AC4" s="20" t="s">
        <v>15</v>
      </c>
    </row>
    <row r="5" spans="1:29" x14ac:dyDescent="0.25">
      <c r="A5" s="4">
        <v>0.3</v>
      </c>
      <c r="B5" s="18">
        <v>1</v>
      </c>
      <c r="C5" s="18">
        <v>1</v>
      </c>
      <c r="D5" s="18">
        <v>1</v>
      </c>
      <c r="E5" s="18">
        <v>1</v>
      </c>
      <c r="F5" s="12">
        <v>1</v>
      </c>
      <c r="G5" s="19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>
        <v>1</v>
      </c>
      <c r="P5" s="18">
        <v>1</v>
      </c>
      <c r="Q5" s="18">
        <v>1</v>
      </c>
      <c r="R5" s="18">
        <v>1</v>
      </c>
      <c r="S5" s="18">
        <v>1</v>
      </c>
      <c r="T5" s="18">
        <v>1</v>
      </c>
      <c r="U5" s="18">
        <v>1</v>
      </c>
      <c r="V5" s="18">
        <v>1</v>
      </c>
      <c r="W5" s="18">
        <v>1</v>
      </c>
      <c r="X5" s="18">
        <v>1</v>
      </c>
      <c r="Y5" s="18">
        <v>1</v>
      </c>
      <c r="AA5" s="2" t="s">
        <v>13</v>
      </c>
      <c r="AB5" s="7">
        <f ca="1">OFFSET($A$1,0,_xlfn.XMATCH(X,$B$1:$Y$1,1))</f>
        <v>0.15</v>
      </c>
      <c r="AC5" s="23">
        <f>_xlfn.XMATCH(X,$B$1:$Y$1,1)</f>
        <v>6</v>
      </c>
    </row>
    <row r="6" spans="1:29" x14ac:dyDescent="0.25">
      <c r="A6" s="4">
        <v>0.4</v>
      </c>
      <c r="B6" s="18">
        <v>1</v>
      </c>
      <c r="C6" s="18">
        <v>1</v>
      </c>
      <c r="D6" s="18">
        <v>1</v>
      </c>
      <c r="E6" s="18">
        <v>1</v>
      </c>
      <c r="F6" s="12">
        <v>1</v>
      </c>
      <c r="G6" s="19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  <c r="R6" s="18">
        <v>1</v>
      </c>
      <c r="S6" s="18">
        <v>1</v>
      </c>
      <c r="T6" s="18">
        <v>1</v>
      </c>
      <c r="U6" s="18">
        <v>1</v>
      </c>
      <c r="V6" s="18">
        <v>1</v>
      </c>
      <c r="W6" s="18">
        <v>1</v>
      </c>
      <c r="X6" s="18">
        <v>1</v>
      </c>
      <c r="Y6" s="18">
        <v>1</v>
      </c>
      <c r="AA6" s="3" t="s">
        <v>3</v>
      </c>
      <c r="AB6" s="9">
        <f ca="1">OFFSET($A$1,0,_xlfn.XMATCH(X,$B$1:$Y$1,-1))</f>
        <v>0.12</v>
      </c>
      <c r="AC6" s="25">
        <f>_xlfn.XMATCH(X,$B$1:$Y$1,-1)</f>
        <v>5</v>
      </c>
    </row>
    <row r="7" spans="1:29" x14ac:dyDescent="0.25">
      <c r="A7" s="4">
        <v>0.5</v>
      </c>
      <c r="B7" s="18">
        <v>1</v>
      </c>
      <c r="C7" s="18">
        <v>1</v>
      </c>
      <c r="D7" s="18">
        <v>1</v>
      </c>
      <c r="E7" s="18">
        <v>1</v>
      </c>
      <c r="F7" s="12">
        <v>1</v>
      </c>
      <c r="G7" s="19">
        <v>1</v>
      </c>
      <c r="H7" s="18">
        <v>1</v>
      </c>
      <c r="I7" s="18">
        <v>1</v>
      </c>
      <c r="J7" s="18">
        <v>1</v>
      </c>
      <c r="K7" s="18">
        <v>1</v>
      </c>
      <c r="L7" s="18">
        <v>1</v>
      </c>
      <c r="M7" s="18">
        <v>1</v>
      </c>
      <c r="N7" s="18">
        <v>1</v>
      </c>
      <c r="O7" s="18">
        <v>1</v>
      </c>
      <c r="P7" s="18">
        <v>1</v>
      </c>
      <c r="Q7" s="18">
        <v>1</v>
      </c>
      <c r="R7" s="18">
        <v>1</v>
      </c>
      <c r="S7" s="18">
        <v>1</v>
      </c>
      <c r="T7" s="18">
        <v>1</v>
      </c>
      <c r="U7" s="18">
        <v>1</v>
      </c>
      <c r="V7" s="18">
        <v>1</v>
      </c>
      <c r="W7" s="18">
        <v>1</v>
      </c>
      <c r="X7" s="18">
        <v>1</v>
      </c>
      <c r="Y7" s="18">
        <v>1</v>
      </c>
      <c r="AA7" s="1" t="s">
        <v>4</v>
      </c>
      <c r="AB7" s="8">
        <f ca="1">OFFSET($A$1,_xlfn.XMATCH(Y,$A$2:$A$40,1),0)</f>
        <v>3</v>
      </c>
      <c r="AC7" s="24">
        <f ca="1">MATCH(AB7,$A$2:$A$40)</f>
        <v>17</v>
      </c>
    </row>
    <row r="8" spans="1:29" x14ac:dyDescent="0.25">
      <c r="A8" s="4">
        <v>0.6</v>
      </c>
      <c r="B8" s="18">
        <v>1</v>
      </c>
      <c r="C8" s="18">
        <v>1</v>
      </c>
      <c r="D8" s="18">
        <v>0.8</v>
      </c>
      <c r="E8" s="18">
        <v>0.8</v>
      </c>
      <c r="F8" s="12">
        <v>0.8</v>
      </c>
      <c r="G8" s="19">
        <v>0.8</v>
      </c>
      <c r="H8" s="18">
        <v>1</v>
      </c>
      <c r="I8" s="18">
        <v>1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>
        <v>1</v>
      </c>
      <c r="P8" s="18">
        <v>1</v>
      </c>
      <c r="Q8" s="18">
        <v>1</v>
      </c>
      <c r="R8" s="18">
        <v>1</v>
      </c>
      <c r="S8" s="18">
        <v>1</v>
      </c>
      <c r="T8" s="18">
        <v>1</v>
      </c>
      <c r="U8" s="18">
        <v>1</v>
      </c>
      <c r="V8" s="18">
        <v>1</v>
      </c>
      <c r="W8" s="18">
        <v>1</v>
      </c>
      <c r="X8" s="18">
        <v>1</v>
      </c>
      <c r="Y8" s="18">
        <v>1</v>
      </c>
      <c r="AA8" s="3" t="s">
        <v>5</v>
      </c>
      <c r="AB8" s="9">
        <f ca="1">OFFSET($A$1,_xlfn.XMATCH(Y,$A$2:$A$40,-1),0)</f>
        <v>2</v>
      </c>
      <c r="AC8" s="25">
        <f ca="1">MATCH(AB8,$A$2:$A$40)</f>
        <v>16</v>
      </c>
    </row>
    <row r="9" spans="1:29" x14ac:dyDescent="0.25">
      <c r="A9" s="4">
        <v>0.7</v>
      </c>
      <c r="B9" s="18">
        <v>1</v>
      </c>
      <c r="C9" s="18">
        <v>0.95</v>
      </c>
      <c r="D9" s="18">
        <v>0.7</v>
      </c>
      <c r="E9" s="18">
        <v>0.7</v>
      </c>
      <c r="F9" s="12">
        <v>0.7</v>
      </c>
      <c r="G9" s="19">
        <v>0.7</v>
      </c>
      <c r="H9" s="18">
        <v>0.95</v>
      </c>
      <c r="I9" s="18">
        <v>1</v>
      </c>
      <c r="J9" s="18">
        <v>1</v>
      </c>
      <c r="K9" s="18">
        <v>1</v>
      </c>
      <c r="L9" s="18">
        <v>1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18">
        <v>1</v>
      </c>
      <c r="T9" s="18">
        <v>1</v>
      </c>
      <c r="U9" s="18">
        <v>1</v>
      </c>
      <c r="V9" s="18">
        <v>1</v>
      </c>
      <c r="W9" s="18">
        <v>1</v>
      </c>
      <c r="X9" s="18">
        <v>1</v>
      </c>
      <c r="Y9" s="18">
        <v>1</v>
      </c>
      <c r="AA9" s="2" t="s">
        <v>7</v>
      </c>
      <c r="AB9" s="7">
        <f ca="1">OFFSET($A$1,AC8,AC5)</f>
        <v>0</v>
      </c>
      <c r="AC9" s="26"/>
    </row>
    <row r="10" spans="1:29" x14ac:dyDescent="0.25">
      <c r="A10" s="4">
        <v>0.8</v>
      </c>
      <c r="B10" s="18">
        <v>1</v>
      </c>
      <c r="C10" s="18">
        <v>0.85</v>
      </c>
      <c r="D10" s="18">
        <v>0.6</v>
      </c>
      <c r="E10" s="18">
        <v>0.6</v>
      </c>
      <c r="F10" s="12">
        <v>0.6</v>
      </c>
      <c r="G10" s="19">
        <v>0.6</v>
      </c>
      <c r="H10" s="18">
        <v>0.85</v>
      </c>
      <c r="I10" s="18">
        <v>1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18">
        <v>1</v>
      </c>
      <c r="T10" s="18">
        <v>1</v>
      </c>
      <c r="U10" s="18">
        <v>1</v>
      </c>
      <c r="V10" s="18">
        <v>1</v>
      </c>
      <c r="W10" s="18">
        <v>1</v>
      </c>
      <c r="X10" s="18">
        <v>1</v>
      </c>
      <c r="Y10" s="18">
        <v>1</v>
      </c>
      <c r="AA10" s="1" t="s">
        <v>6</v>
      </c>
      <c r="AB10" s="8">
        <f ca="1">OFFSET($A$1,AC8,AC6)</f>
        <v>0</v>
      </c>
    </row>
    <row r="11" spans="1:29" x14ac:dyDescent="0.25">
      <c r="A11" s="4">
        <v>0.9</v>
      </c>
      <c r="B11" s="18">
        <v>1</v>
      </c>
      <c r="C11" s="18">
        <v>0.75</v>
      </c>
      <c r="D11" s="18">
        <v>0.5</v>
      </c>
      <c r="E11" s="18">
        <v>0.5</v>
      </c>
      <c r="F11" s="12">
        <v>0.5</v>
      </c>
      <c r="G11" s="19">
        <v>0.5</v>
      </c>
      <c r="H11" s="18">
        <v>0.75</v>
      </c>
      <c r="I11" s="18">
        <v>1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1</v>
      </c>
      <c r="P11" s="18">
        <v>1</v>
      </c>
      <c r="Q11" s="18">
        <v>1</v>
      </c>
      <c r="R11" s="18">
        <v>1</v>
      </c>
      <c r="S11" s="18">
        <v>1</v>
      </c>
      <c r="T11" s="18">
        <v>1</v>
      </c>
      <c r="U11" s="18">
        <v>1</v>
      </c>
      <c r="V11" s="18">
        <v>1</v>
      </c>
      <c r="W11" s="18">
        <v>1</v>
      </c>
      <c r="X11" s="18">
        <v>1</v>
      </c>
      <c r="Y11" s="18">
        <v>1</v>
      </c>
      <c r="AA11" s="1" t="s">
        <v>8</v>
      </c>
      <c r="AB11" s="8">
        <f ca="1">OFFSET($A$1,AC7,AC5)</f>
        <v>0</v>
      </c>
    </row>
    <row r="12" spans="1:29" x14ac:dyDescent="0.25">
      <c r="A12" s="4">
        <v>1</v>
      </c>
      <c r="B12" s="18">
        <v>0.9</v>
      </c>
      <c r="C12" s="18">
        <v>0.65</v>
      </c>
      <c r="D12" s="18">
        <v>0.4</v>
      </c>
      <c r="E12" s="18">
        <v>0.4</v>
      </c>
      <c r="F12" s="12">
        <v>0.4</v>
      </c>
      <c r="G12" s="19">
        <v>0.4</v>
      </c>
      <c r="H12" s="18">
        <v>0.65</v>
      </c>
      <c r="I12" s="18">
        <v>0.9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18">
        <v>1</v>
      </c>
      <c r="T12" s="18">
        <v>1</v>
      </c>
      <c r="U12" s="18">
        <v>1</v>
      </c>
      <c r="V12" s="18">
        <v>1</v>
      </c>
      <c r="W12" s="18">
        <v>1</v>
      </c>
      <c r="X12" s="18">
        <v>1</v>
      </c>
      <c r="Y12" s="18">
        <v>1</v>
      </c>
      <c r="AA12" s="3" t="s">
        <v>9</v>
      </c>
      <c r="AB12" s="9">
        <f ca="1">OFFSET($A$1,AC7,AC6)</f>
        <v>0</v>
      </c>
    </row>
    <row r="13" spans="1:29" x14ac:dyDescent="0.25">
      <c r="A13" s="4">
        <v>1.2</v>
      </c>
      <c r="B13" s="18">
        <v>0.8</v>
      </c>
      <c r="C13" s="18">
        <v>0.55000000000000004</v>
      </c>
      <c r="D13" s="18">
        <v>0.3</v>
      </c>
      <c r="E13" s="18">
        <v>0.3</v>
      </c>
      <c r="F13" s="12">
        <v>0.3</v>
      </c>
      <c r="G13" s="19">
        <v>0.3</v>
      </c>
      <c r="H13" s="18">
        <v>0.55000000000000004</v>
      </c>
      <c r="I13" s="18">
        <v>0.8</v>
      </c>
      <c r="J13" s="18">
        <v>1</v>
      </c>
      <c r="K13" s="18">
        <v>1</v>
      </c>
      <c r="L13" s="18">
        <v>1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18">
        <v>1</v>
      </c>
      <c r="T13" s="18">
        <v>1</v>
      </c>
      <c r="U13" s="18">
        <v>1</v>
      </c>
      <c r="V13" s="18">
        <v>1</v>
      </c>
      <c r="W13" s="18">
        <v>1</v>
      </c>
      <c r="X13" s="18">
        <v>1</v>
      </c>
      <c r="Y13" s="18">
        <v>1</v>
      </c>
      <c r="AA13" s="2" t="s">
        <v>10</v>
      </c>
      <c r="AB13" s="10">
        <f ca="1">VLA+(VRA-VLA)*((X-L)/(R_-L))</f>
        <v>0</v>
      </c>
    </row>
    <row r="14" spans="1:29" x14ac:dyDescent="0.25">
      <c r="A14" s="4">
        <v>1.4</v>
      </c>
      <c r="B14" s="18">
        <v>0.7</v>
      </c>
      <c r="C14" s="18">
        <v>0.45</v>
      </c>
      <c r="D14" s="18">
        <v>0.2</v>
      </c>
      <c r="E14" s="18">
        <v>0.2</v>
      </c>
      <c r="F14" s="12">
        <v>0.2</v>
      </c>
      <c r="G14" s="19">
        <v>0.2</v>
      </c>
      <c r="H14" s="18">
        <v>0.45</v>
      </c>
      <c r="I14" s="18">
        <v>0.7</v>
      </c>
      <c r="J14" s="18">
        <v>0.95</v>
      </c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8">
        <v>1</v>
      </c>
      <c r="U14" s="18">
        <v>1</v>
      </c>
      <c r="V14" s="18">
        <v>1</v>
      </c>
      <c r="W14" s="18">
        <v>1</v>
      </c>
      <c r="X14" s="18">
        <v>1</v>
      </c>
      <c r="Y14" s="18">
        <v>1</v>
      </c>
      <c r="AA14" s="3" t="s">
        <v>11</v>
      </c>
      <c r="AB14" s="11">
        <f ca="1">VLB+(VRB-VLB)*((X-L)/(R_-L))</f>
        <v>0</v>
      </c>
    </row>
    <row r="15" spans="1:29" x14ac:dyDescent="0.25">
      <c r="A15" s="4">
        <v>1.6</v>
      </c>
      <c r="B15" s="18">
        <v>0.6</v>
      </c>
      <c r="C15" s="18">
        <v>0.35</v>
      </c>
      <c r="D15" s="18">
        <v>0.1</v>
      </c>
      <c r="E15" s="18">
        <v>0.1</v>
      </c>
      <c r="F15" s="12">
        <v>0.1</v>
      </c>
      <c r="G15" s="19">
        <v>0.1</v>
      </c>
      <c r="H15" s="18">
        <v>0.35</v>
      </c>
      <c r="I15" s="18">
        <v>0.6</v>
      </c>
      <c r="J15" s="18">
        <v>0.85</v>
      </c>
      <c r="K15" s="18">
        <v>1</v>
      </c>
      <c r="L15" s="18">
        <v>1</v>
      </c>
      <c r="M15" s="18">
        <v>1</v>
      </c>
      <c r="N15" s="18">
        <v>1</v>
      </c>
      <c r="O15" s="18">
        <v>1</v>
      </c>
      <c r="P15" s="18">
        <v>1</v>
      </c>
      <c r="Q15" s="18">
        <v>1</v>
      </c>
      <c r="R15" s="18">
        <v>1</v>
      </c>
      <c r="S15" s="18">
        <v>1</v>
      </c>
      <c r="T15" s="18">
        <v>1</v>
      </c>
      <c r="U15" s="18">
        <v>1</v>
      </c>
      <c r="V15" s="18">
        <v>1</v>
      </c>
      <c r="W15" s="18">
        <v>1</v>
      </c>
      <c r="X15" s="18">
        <v>1</v>
      </c>
      <c r="Y15" s="18">
        <v>1</v>
      </c>
      <c r="AA15" s="14" t="s">
        <v>12</v>
      </c>
      <c r="AB15" s="15">
        <f ca="1">VXA+(VXB-VXA)*((Y-A)/(B-A))</f>
        <v>0</v>
      </c>
    </row>
    <row r="16" spans="1:29" x14ac:dyDescent="0.25">
      <c r="A16" s="4">
        <v>1.8</v>
      </c>
      <c r="B16" s="18">
        <v>0.5</v>
      </c>
      <c r="C16" s="18">
        <v>0.25</v>
      </c>
      <c r="D16" s="18">
        <v>0</v>
      </c>
      <c r="E16" s="18">
        <v>0</v>
      </c>
      <c r="F16" s="12">
        <v>0</v>
      </c>
      <c r="G16" s="19">
        <v>0</v>
      </c>
      <c r="H16" s="18">
        <v>0.25</v>
      </c>
      <c r="I16" s="18">
        <v>0.5</v>
      </c>
      <c r="J16" s="18">
        <v>0.75</v>
      </c>
      <c r="K16" s="18">
        <v>1</v>
      </c>
      <c r="L16" s="18">
        <v>1</v>
      </c>
      <c r="M16" s="18">
        <v>1</v>
      </c>
      <c r="N16" s="18">
        <v>1</v>
      </c>
      <c r="O16" s="18">
        <v>1</v>
      </c>
      <c r="P16" s="18">
        <v>1</v>
      </c>
      <c r="Q16" s="18">
        <v>1</v>
      </c>
      <c r="R16" s="18">
        <v>1</v>
      </c>
      <c r="S16" s="18">
        <v>1</v>
      </c>
      <c r="T16" s="18">
        <v>1</v>
      </c>
      <c r="U16" s="18">
        <v>1</v>
      </c>
      <c r="V16" s="18">
        <v>1</v>
      </c>
      <c r="W16" s="18">
        <v>1</v>
      </c>
      <c r="X16" s="18">
        <v>1</v>
      </c>
      <c r="Y16" s="18">
        <v>1</v>
      </c>
    </row>
    <row r="17" spans="1:26" s="5" customFormat="1" x14ac:dyDescent="0.25">
      <c r="A17" s="5">
        <v>2</v>
      </c>
      <c r="B17" s="12">
        <v>0.5</v>
      </c>
      <c r="C17" s="12">
        <v>0.25</v>
      </c>
      <c r="D17" s="12">
        <v>0</v>
      </c>
      <c r="E17" s="12">
        <v>0</v>
      </c>
      <c r="F17" s="13">
        <v>0</v>
      </c>
      <c r="G17" s="13">
        <v>0</v>
      </c>
      <c r="H17" s="12">
        <v>0.25</v>
      </c>
      <c r="I17" s="12">
        <v>0.5</v>
      </c>
      <c r="J17" s="12">
        <v>0.75</v>
      </c>
      <c r="K17" s="12">
        <v>1</v>
      </c>
      <c r="L17" s="12">
        <v>1</v>
      </c>
      <c r="M17" s="12">
        <v>1</v>
      </c>
      <c r="N17" s="12">
        <v>1</v>
      </c>
      <c r="O17" s="12">
        <v>1</v>
      </c>
      <c r="P17" s="12">
        <v>1</v>
      </c>
      <c r="Q17" s="12">
        <v>1</v>
      </c>
      <c r="R17" s="12">
        <v>1</v>
      </c>
      <c r="S17" s="12">
        <v>1</v>
      </c>
      <c r="T17" s="12">
        <v>1</v>
      </c>
      <c r="U17" s="12">
        <v>1</v>
      </c>
      <c r="V17" s="12">
        <v>1</v>
      </c>
      <c r="W17" s="12">
        <v>1</v>
      </c>
      <c r="X17" s="12">
        <v>1</v>
      </c>
      <c r="Y17" s="12">
        <v>1</v>
      </c>
      <c r="Z17" s="4"/>
    </row>
    <row r="18" spans="1:26" s="6" customFormat="1" x14ac:dyDescent="0.25">
      <c r="A18" s="6">
        <v>3</v>
      </c>
      <c r="B18" s="19">
        <v>0.5</v>
      </c>
      <c r="C18" s="19">
        <v>0.25</v>
      </c>
      <c r="D18" s="19">
        <v>0</v>
      </c>
      <c r="E18" s="19">
        <v>0</v>
      </c>
      <c r="F18" s="13">
        <v>0</v>
      </c>
      <c r="G18" s="13">
        <v>0</v>
      </c>
      <c r="H18" s="19">
        <v>0.25</v>
      </c>
      <c r="I18" s="19">
        <v>0.5</v>
      </c>
      <c r="J18" s="19">
        <v>0.75</v>
      </c>
      <c r="K18" s="19">
        <v>1</v>
      </c>
      <c r="L18" s="19">
        <v>1</v>
      </c>
      <c r="M18" s="19">
        <v>1</v>
      </c>
      <c r="N18" s="19">
        <v>1</v>
      </c>
      <c r="O18" s="19">
        <v>1</v>
      </c>
      <c r="P18" s="19">
        <v>1</v>
      </c>
      <c r="Q18" s="19">
        <v>1</v>
      </c>
      <c r="R18" s="19">
        <v>1</v>
      </c>
      <c r="S18" s="19">
        <v>1</v>
      </c>
      <c r="T18" s="19">
        <v>1</v>
      </c>
      <c r="U18" s="19">
        <v>1</v>
      </c>
      <c r="V18" s="19">
        <v>1</v>
      </c>
      <c r="W18" s="19">
        <v>1</v>
      </c>
      <c r="X18" s="19">
        <v>1</v>
      </c>
      <c r="Y18" s="19">
        <v>1</v>
      </c>
      <c r="Z18" s="4"/>
    </row>
    <row r="19" spans="1:26" x14ac:dyDescent="0.25">
      <c r="A19" s="4">
        <v>4</v>
      </c>
      <c r="B19" s="18">
        <v>0.5</v>
      </c>
      <c r="C19" s="18">
        <v>0.25</v>
      </c>
      <c r="D19" s="18">
        <v>0</v>
      </c>
      <c r="E19" s="18">
        <v>0</v>
      </c>
      <c r="F19" s="12">
        <v>0</v>
      </c>
      <c r="G19" s="19">
        <v>0</v>
      </c>
      <c r="H19" s="18">
        <v>0.25</v>
      </c>
      <c r="I19" s="18">
        <v>0.5</v>
      </c>
      <c r="J19" s="18">
        <v>0.75</v>
      </c>
      <c r="K19" s="18">
        <v>1</v>
      </c>
      <c r="L19" s="18">
        <v>1</v>
      </c>
      <c r="M19" s="18">
        <v>1</v>
      </c>
      <c r="N19" s="18">
        <v>1</v>
      </c>
      <c r="O19" s="18">
        <v>1</v>
      </c>
      <c r="P19" s="18">
        <v>1</v>
      </c>
      <c r="Q19" s="18">
        <v>1</v>
      </c>
      <c r="R19" s="18">
        <v>1</v>
      </c>
      <c r="S19" s="18">
        <v>1</v>
      </c>
      <c r="T19" s="18">
        <v>1</v>
      </c>
      <c r="U19" s="18">
        <v>1</v>
      </c>
      <c r="V19" s="18">
        <v>1</v>
      </c>
      <c r="W19" s="18">
        <v>1</v>
      </c>
      <c r="X19" s="18">
        <v>1</v>
      </c>
      <c r="Y19" s="18">
        <v>1</v>
      </c>
    </row>
    <row r="20" spans="1:26" x14ac:dyDescent="0.25">
      <c r="A20" s="4">
        <v>5</v>
      </c>
      <c r="B20" s="18">
        <v>0.5</v>
      </c>
      <c r="C20" s="18">
        <v>0.25</v>
      </c>
      <c r="D20" s="18">
        <v>0</v>
      </c>
      <c r="E20" s="18">
        <v>0</v>
      </c>
      <c r="F20" s="12">
        <v>0</v>
      </c>
      <c r="G20" s="19">
        <v>0</v>
      </c>
      <c r="H20" s="18">
        <v>0.25</v>
      </c>
      <c r="I20" s="18">
        <v>0.5</v>
      </c>
      <c r="J20" s="18">
        <v>0.75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>
        <v>1</v>
      </c>
      <c r="T20" s="18">
        <v>1</v>
      </c>
      <c r="U20" s="18">
        <v>1</v>
      </c>
      <c r="V20" s="18">
        <v>1</v>
      </c>
      <c r="W20" s="18">
        <v>1</v>
      </c>
      <c r="X20" s="18">
        <v>1</v>
      </c>
      <c r="Y20" s="18">
        <v>1</v>
      </c>
    </row>
    <row r="21" spans="1:26" x14ac:dyDescent="0.25">
      <c r="A21" s="4">
        <v>6</v>
      </c>
      <c r="B21" s="18">
        <v>0.5</v>
      </c>
      <c r="C21" s="18">
        <v>0.25</v>
      </c>
      <c r="D21" s="18">
        <v>0</v>
      </c>
      <c r="E21" s="18">
        <v>0</v>
      </c>
      <c r="F21" s="12">
        <v>0</v>
      </c>
      <c r="G21" s="19">
        <v>0</v>
      </c>
      <c r="H21" s="18">
        <v>0.25</v>
      </c>
      <c r="I21" s="18">
        <v>0.5</v>
      </c>
      <c r="J21" s="18">
        <v>0.75</v>
      </c>
      <c r="K21" s="18">
        <v>1</v>
      </c>
      <c r="L21" s="18">
        <v>1</v>
      </c>
      <c r="M21" s="18">
        <v>1</v>
      </c>
      <c r="N21" s="18">
        <v>1</v>
      </c>
      <c r="O21" s="18">
        <v>1</v>
      </c>
      <c r="P21" s="18">
        <v>1</v>
      </c>
      <c r="Q21" s="18">
        <v>1</v>
      </c>
      <c r="R21" s="18">
        <v>1</v>
      </c>
      <c r="S21" s="18">
        <v>1</v>
      </c>
      <c r="T21" s="18">
        <v>1</v>
      </c>
      <c r="U21" s="18">
        <v>1</v>
      </c>
      <c r="V21" s="18">
        <v>1</v>
      </c>
      <c r="W21" s="18">
        <v>1</v>
      </c>
      <c r="X21" s="18">
        <v>1</v>
      </c>
      <c r="Y21" s="18">
        <v>1</v>
      </c>
    </row>
    <row r="22" spans="1:26" x14ac:dyDescent="0.25">
      <c r="A22" s="4">
        <v>7</v>
      </c>
      <c r="B22" s="18">
        <v>0.65</v>
      </c>
      <c r="C22" s="18">
        <v>0.4</v>
      </c>
      <c r="D22" s="18">
        <v>0.15</v>
      </c>
      <c r="E22" s="18">
        <v>0.15</v>
      </c>
      <c r="F22" s="12">
        <v>0.15</v>
      </c>
      <c r="G22" s="19">
        <v>0.15</v>
      </c>
      <c r="H22" s="18">
        <v>0.4</v>
      </c>
      <c r="I22" s="18">
        <v>0.65</v>
      </c>
      <c r="J22" s="18">
        <v>0.9</v>
      </c>
      <c r="K22" s="18">
        <v>1</v>
      </c>
      <c r="L22" s="18">
        <v>1</v>
      </c>
      <c r="M22" s="18">
        <v>1</v>
      </c>
      <c r="N22" s="18">
        <v>1</v>
      </c>
      <c r="O22" s="18">
        <v>1</v>
      </c>
      <c r="P22" s="18">
        <v>1</v>
      </c>
      <c r="Q22" s="18">
        <v>1</v>
      </c>
      <c r="R22" s="18">
        <v>1</v>
      </c>
      <c r="S22" s="18">
        <v>1</v>
      </c>
      <c r="T22" s="18">
        <v>1</v>
      </c>
      <c r="U22" s="18">
        <v>1</v>
      </c>
      <c r="V22" s="18">
        <v>1</v>
      </c>
      <c r="W22" s="18">
        <v>1</v>
      </c>
      <c r="X22" s="18">
        <v>1</v>
      </c>
      <c r="Y22" s="18">
        <v>1</v>
      </c>
    </row>
    <row r="23" spans="1:26" x14ac:dyDescent="0.25">
      <c r="A23" s="4">
        <v>8</v>
      </c>
      <c r="B23" s="18">
        <v>0.8</v>
      </c>
      <c r="C23" s="18">
        <v>0.55000000000000004</v>
      </c>
      <c r="D23" s="18">
        <v>0.3</v>
      </c>
      <c r="E23" s="18">
        <v>0.3</v>
      </c>
      <c r="F23" s="12">
        <v>0.3</v>
      </c>
      <c r="G23" s="19">
        <v>0.3</v>
      </c>
      <c r="H23" s="18">
        <v>0.55000000000000004</v>
      </c>
      <c r="I23" s="18">
        <v>0.8</v>
      </c>
      <c r="J23" s="18">
        <v>1</v>
      </c>
      <c r="K23" s="18">
        <v>1</v>
      </c>
      <c r="L23" s="18">
        <v>1</v>
      </c>
      <c r="M23" s="18">
        <v>1</v>
      </c>
      <c r="N23" s="18">
        <v>1</v>
      </c>
      <c r="O23" s="18">
        <v>1</v>
      </c>
      <c r="P23" s="18">
        <v>1</v>
      </c>
      <c r="Q23" s="18">
        <v>1</v>
      </c>
      <c r="R23" s="18">
        <v>1</v>
      </c>
      <c r="S23" s="18">
        <v>1</v>
      </c>
      <c r="T23" s="18">
        <v>1</v>
      </c>
      <c r="U23" s="18">
        <v>1</v>
      </c>
      <c r="V23" s="18">
        <v>1</v>
      </c>
      <c r="W23" s="18">
        <v>1</v>
      </c>
      <c r="X23" s="18">
        <v>1</v>
      </c>
      <c r="Y23" s="18">
        <v>1</v>
      </c>
    </row>
    <row r="24" spans="1:26" x14ac:dyDescent="0.25">
      <c r="A24" s="4">
        <v>9</v>
      </c>
      <c r="B24" s="18">
        <v>0.95</v>
      </c>
      <c r="C24" s="18">
        <v>0.7</v>
      </c>
      <c r="D24" s="18">
        <v>0.45</v>
      </c>
      <c r="E24" s="18">
        <v>0.45</v>
      </c>
      <c r="F24" s="12">
        <v>0.45</v>
      </c>
      <c r="G24" s="19">
        <v>0.45</v>
      </c>
      <c r="H24" s="18">
        <v>0.7</v>
      </c>
      <c r="I24" s="18">
        <v>0.95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>
        <v>1</v>
      </c>
      <c r="P24" s="18">
        <v>1</v>
      </c>
      <c r="Q24" s="18">
        <v>1</v>
      </c>
      <c r="R24" s="18">
        <v>1</v>
      </c>
      <c r="S24" s="18">
        <v>1</v>
      </c>
      <c r="T24" s="18">
        <v>1</v>
      </c>
      <c r="U24" s="18">
        <v>1</v>
      </c>
      <c r="V24" s="18">
        <v>1</v>
      </c>
      <c r="W24" s="18">
        <v>1</v>
      </c>
      <c r="X24" s="18">
        <v>1</v>
      </c>
      <c r="Y24" s="18">
        <v>1</v>
      </c>
    </row>
    <row r="25" spans="1:26" x14ac:dyDescent="0.25">
      <c r="A25" s="4">
        <v>10</v>
      </c>
      <c r="B25" s="18">
        <v>1</v>
      </c>
      <c r="C25" s="18">
        <v>0.85</v>
      </c>
      <c r="D25" s="18">
        <v>0.6</v>
      </c>
      <c r="E25" s="18">
        <v>0.6</v>
      </c>
      <c r="F25" s="12">
        <v>0.6</v>
      </c>
      <c r="G25" s="19">
        <v>0.6</v>
      </c>
      <c r="H25" s="18">
        <v>0.85</v>
      </c>
      <c r="I25" s="18">
        <v>1</v>
      </c>
      <c r="J25" s="18">
        <v>1</v>
      </c>
      <c r="K25" s="18">
        <v>1</v>
      </c>
      <c r="L25" s="18">
        <v>1</v>
      </c>
      <c r="M25" s="18">
        <v>1</v>
      </c>
      <c r="N25" s="18">
        <v>1</v>
      </c>
      <c r="O25" s="18">
        <v>1</v>
      </c>
      <c r="P25" s="18">
        <v>1</v>
      </c>
      <c r="Q25" s="18">
        <v>1</v>
      </c>
      <c r="R25" s="18">
        <v>1</v>
      </c>
      <c r="S25" s="18">
        <v>1</v>
      </c>
      <c r="T25" s="18">
        <v>1</v>
      </c>
      <c r="U25" s="18">
        <v>1</v>
      </c>
      <c r="V25" s="18">
        <v>1</v>
      </c>
      <c r="W25" s="18">
        <v>1</v>
      </c>
      <c r="X25" s="18">
        <v>1</v>
      </c>
      <c r="Y25" s="18">
        <v>1</v>
      </c>
    </row>
    <row r="26" spans="1:26" x14ac:dyDescent="0.25">
      <c r="A26" s="4">
        <v>12</v>
      </c>
      <c r="B26" s="18">
        <v>1</v>
      </c>
      <c r="C26" s="18">
        <v>1</v>
      </c>
      <c r="D26" s="18">
        <v>0.75</v>
      </c>
      <c r="E26" s="18">
        <v>0.75</v>
      </c>
      <c r="F26" s="12">
        <v>0.75</v>
      </c>
      <c r="G26" s="19">
        <v>0.75</v>
      </c>
      <c r="H26" s="18">
        <v>1</v>
      </c>
      <c r="I26" s="18">
        <v>1</v>
      </c>
      <c r="J26" s="18">
        <v>1</v>
      </c>
      <c r="K26" s="18">
        <v>1</v>
      </c>
      <c r="L26" s="18">
        <v>1</v>
      </c>
      <c r="M26" s="18">
        <v>1</v>
      </c>
      <c r="N26" s="18">
        <v>1</v>
      </c>
      <c r="O26" s="18">
        <v>1</v>
      </c>
      <c r="P26" s="18">
        <v>1</v>
      </c>
      <c r="Q26" s="18">
        <v>1</v>
      </c>
      <c r="R26" s="18">
        <v>1</v>
      </c>
      <c r="S26" s="18">
        <v>1</v>
      </c>
      <c r="T26" s="18">
        <v>1</v>
      </c>
      <c r="U26" s="18">
        <v>1</v>
      </c>
      <c r="V26" s="18">
        <v>1</v>
      </c>
      <c r="W26" s="18">
        <v>1</v>
      </c>
      <c r="X26" s="18">
        <v>1</v>
      </c>
      <c r="Y26" s="18">
        <v>1</v>
      </c>
    </row>
    <row r="27" spans="1:26" x14ac:dyDescent="0.25">
      <c r="A27" s="4">
        <v>14</v>
      </c>
      <c r="B27" s="18">
        <v>1</v>
      </c>
      <c r="C27" s="18">
        <v>1</v>
      </c>
      <c r="D27" s="18">
        <v>0.9</v>
      </c>
      <c r="E27" s="18">
        <v>0.9</v>
      </c>
      <c r="F27" s="12">
        <v>0.9</v>
      </c>
      <c r="G27" s="19">
        <v>0.9</v>
      </c>
      <c r="H27" s="18">
        <v>1</v>
      </c>
      <c r="I27" s="18">
        <v>1</v>
      </c>
      <c r="J27" s="18">
        <v>1</v>
      </c>
      <c r="K27" s="18">
        <v>1</v>
      </c>
      <c r="L27" s="18">
        <v>1</v>
      </c>
      <c r="M27" s="18">
        <v>1</v>
      </c>
      <c r="N27" s="18">
        <v>1</v>
      </c>
      <c r="O27" s="18">
        <v>1</v>
      </c>
      <c r="P27" s="18">
        <v>1</v>
      </c>
      <c r="Q27" s="18">
        <v>1</v>
      </c>
      <c r="R27" s="18">
        <v>1</v>
      </c>
      <c r="S27" s="18">
        <v>1</v>
      </c>
      <c r="T27" s="18">
        <v>1</v>
      </c>
      <c r="U27" s="18">
        <v>1</v>
      </c>
      <c r="V27" s="18">
        <v>1</v>
      </c>
      <c r="W27" s="18">
        <v>1</v>
      </c>
      <c r="X27" s="18">
        <v>1</v>
      </c>
      <c r="Y27" s="18">
        <v>1</v>
      </c>
    </row>
    <row r="28" spans="1:26" x14ac:dyDescent="0.25">
      <c r="A28" s="4">
        <v>16</v>
      </c>
      <c r="B28" s="18">
        <v>1</v>
      </c>
      <c r="C28" s="18">
        <v>1</v>
      </c>
      <c r="D28" s="18">
        <v>1</v>
      </c>
      <c r="E28" s="18">
        <v>1</v>
      </c>
      <c r="F28" s="12">
        <v>1</v>
      </c>
      <c r="G28" s="19">
        <v>1</v>
      </c>
      <c r="H28" s="18">
        <v>1</v>
      </c>
      <c r="I28" s="18">
        <v>1</v>
      </c>
      <c r="J28" s="18">
        <v>1</v>
      </c>
      <c r="K28" s="18">
        <v>1</v>
      </c>
      <c r="L28" s="18">
        <v>1</v>
      </c>
      <c r="M28" s="18">
        <v>1</v>
      </c>
      <c r="N28" s="18">
        <v>1</v>
      </c>
      <c r="O28" s="18">
        <v>1</v>
      </c>
      <c r="P28" s="18">
        <v>1</v>
      </c>
      <c r="Q28" s="18">
        <v>1</v>
      </c>
      <c r="R28" s="18">
        <v>1</v>
      </c>
      <c r="S28" s="18">
        <v>1</v>
      </c>
      <c r="T28" s="18">
        <v>1</v>
      </c>
      <c r="U28" s="18">
        <v>1</v>
      </c>
      <c r="V28" s="18">
        <v>1</v>
      </c>
      <c r="W28" s="18">
        <v>1</v>
      </c>
      <c r="X28" s="18">
        <v>1</v>
      </c>
      <c r="Y28" s="18">
        <v>1</v>
      </c>
    </row>
    <row r="29" spans="1:26" x14ac:dyDescent="0.25">
      <c r="A29" s="4">
        <v>18</v>
      </c>
      <c r="B29" s="18">
        <v>1</v>
      </c>
      <c r="C29" s="18">
        <v>1</v>
      </c>
      <c r="D29" s="18">
        <v>1</v>
      </c>
      <c r="E29" s="18">
        <v>1</v>
      </c>
      <c r="F29" s="12">
        <v>1</v>
      </c>
      <c r="G29" s="19">
        <v>1</v>
      </c>
      <c r="H29" s="18">
        <v>1</v>
      </c>
      <c r="I29" s="18">
        <v>1</v>
      </c>
      <c r="J29" s="18">
        <v>1</v>
      </c>
      <c r="K29" s="18">
        <v>1</v>
      </c>
      <c r="L29" s="18">
        <v>1</v>
      </c>
      <c r="M29" s="18">
        <v>1</v>
      </c>
      <c r="N29" s="18">
        <v>1</v>
      </c>
      <c r="O29" s="18">
        <v>1</v>
      </c>
      <c r="P29" s="18">
        <v>1</v>
      </c>
      <c r="Q29" s="18">
        <v>1</v>
      </c>
      <c r="R29" s="18">
        <v>1</v>
      </c>
      <c r="S29" s="18">
        <v>1</v>
      </c>
      <c r="T29" s="18">
        <v>1</v>
      </c>
      <c r="U29" s="18">
        <v>1</v>
      </c>
      <c r="V29" s="18">
        <v>1</v>
      </c>
      <c r="W29" s="18">
        <v>1</v>
      </c>
      <c r="X29" s="18">
        <v>1</v>
      </c>
      <c r="Y29" s="18">
        <v>1</v>
      </c>
    </row>
    <row r="30" spans="1:26" x14ac:dyDescent="0.25">
      <c r="A30" s="4">
        <v>20</v>
      </c>
      <c r="B30" s="18">
        <v>1</v>
      </c>
      <c r="C30" s="18">
        <v>1</v>
      </c>
      <c r="D30" s="18">
        <v>1</v>
      </c>
      <c r="E30" s="18">
        <v>1</v>
      </c>
      <c r="F30" s="12">
        <v>1</v>
      </c>
      <c r="G30" s="19">
        <v>1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18">
        <v>1</v>
      </c>
      <c r="U30" s="18">
        <v>1</v>
      </c>
      <c r="V30" s="18">
        <v>1</v>
      </c>
      <c r="W30" s="18">
        <v>1</v>
      </c>
      <c r="X30" s="18">
        <v>1</v>
      </c>
      <c r="Y30" s="18">
        <v>1</v>
      </c>
    </row>
    <row r="31" spans="1:26" x14ac:dyDescent="0.25">
      <c r="A31" s="4">
        <v>22</v>
      </c>
      <c r="B31" s="18">
        <v>1</v>
      </c>
      <c r="C31" s="18">
        <v>1</v>
      </c>
      <c r="D31" s="18">
        <v>1</v>
      </c>
      <c r="E31" s="18">
        <v>1</v>
      </c>
      <c r="F31" s="12">
        <v>1</v>
      </c>
      <c r="G31" s="19">
        <v>1</v>
      </c>
      <c r="H31" s="18">
        <v>1</v>
      </c>
      <c r="I31" s="18">
        <v>1</v>
      </c>
      <c r="J31" s="18">
        <v>1</v>
      </c>
      <c r="K31" s="18">
        <v>1</v>
      </c>
      <c r="L31" s="18">
        <v>1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18">
        <v>1</v>
      </c>
      <c r="T31" s="18">
        <v>1</v>
      </c>
      <c r="U31" s="18">
        <v>1</v>
      </c>
      <c r="V31" s="18">
        <v>1</v>
      </c>
      <c r="W31" s="18">
        <v>1</v>
      </c>
      <c r="X31" s="18">
        <v>1</v>
      </c>
      <c r="Y31" s="18">
        <v>1</v>
      </c>
    </row>
    <row r="32" spans="1:26" x14ac:dyDescent="0.25">
      <c r="A32" s="4">
        <v>24</v>
      </c>
      <c r="B32" s="18">
        <v>1</v>
      </c>
      <c r="C32" s="18">
        <v>1</v>
      </c>
      <c r="D32" s="18">
        <v>1</v>
      </c>
      <c r="E32" s="18">
        <v>1</v>
      </c>
      <c r="F32" s="12">
        <v>1</v>
      </c>
      <c r="G32" s="19">
        <v>1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>
        <v>1</v>
      </c>
      <c r="T32" s="18">
        <v>1</v>
      </c>
      <c r="U32" s="18">
        <v>1</v>
      </c>
      <c r="V32" s="18">
        <v>1</v>
      </c>
      <c r="W32" s="18">
        <v>1</v>
      </c>
      <c r="X32" s="18">
        <v>1</v>
      </c>
      <c r="Y32" s="18">
        <v>1</v>
      </c>
    </row>
    <row r="33" spans="1:25" x14ac:dyDescent="0.25">
      <c r="A33" s="4">
        <v>26</v>
      </c>
      <c r="B33" s="18">
        <v>1</v>
      </c>
      <c r="C33" s="18">
        <v>1</v>
      </c>
      <c r="D33" s="18">
        <v>1</v>
      </c>
      <c r="E33" s="18">
        <v>1</v>
      </c>
      <c r="F33" s="12">
        <v>1</v>
      </c>
      <c r="G33" s="19">
        <v>1</v>
      </c>
      <c r="H33" s="18">
        <v>1</v>
      </c>
      <c r="I33" s="18">
        <v>1</v>
      </c>
      <c r="J33" s="18">
        <v>1</v>
      </c>
      <c r="K33" s="18">
        <v>1</v>
      </c>
      <c r="L33" s="18">
        <v>1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18">
        <v>1</v>
      </c>
      <c r="T33" s="18">
        <v>1</v>
      </c>
      <c r="U33" s="18">
        <v>1</v>
      </c>
      <c r="V33" s="18">
        <v>1</v>
      </c>
      <c r="W33" s="18">
        <v>1</v>
      </c>
      <c r="X33" s="18">
        <v>1</v>
      </c>
      <c r="Y33" s="18">
        <v>1</v>
      </c>
    </row>
    <row r="34" spans="1:25" x14ac:dyDescent="0.25">
      <c r="A34" s="4">
        <v>28</v>
      </c>
      <c r="B34" s="18">
        <v>1</v>
      </c>
      <c r="C34" s="18">
        <v>1</v>
      </c>
      <c r="D34" s="18">
        <v>1</v>
      </c>
      <c r="E34" s="18">
        <v>1</v>
      </c>
      <c r="F34" s="12">
        <v>1</v>
      </c>
      <c r="G34" s="19">
        <v>1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18">
        <v>1</v>
      </c>
      <c r="U34" s="18">
        <v>1</v>
      </c>
      <c r="V34" s="18">
        <v>1</v>
      </c>
      <c r="W34" s="18">
        <v>1</v>
      </c>
      <c r="X34" s="18">
        <v>1</v>
      </c>
      <c r="Y34" s="18">
        <v>1</v>
      </c>
    </row>
    <row r="35" spans="1:25" x14ac:dyDescent="0.25">
      <c r="A35" s="4">
        <v>30</v>
      </c>
      <c r="B35" s="18">
        <v>1</v>
      </c>
      <c r="C35" s="18">
        <v>1</v>
      </c>
      <c r="D35" s="18">
        <v>1</v>
      </c>
      <c r="E35" s="18">
        <v>1</v>
      </c>
      <c r="F35" s="12">
        <v>1</v>
      </c>
      <c r="G35" s="19">
        <v>1</v>
      </c>
      <c r="H35" s="18">
        <v>1</v>
      </c>
      <c r="I35" s="18">
        <v>1</v>
      </c>
      <c r="J35" s="18">
        <v>1</v>
      </c>
      <c r="K35" s="18">
        <v>1</v>
      </c>
      <c r="L35" s="18">
        <v>1</v>
      </c>
      <c r="M35" s="18">
        <v>1</v>
      </c>
      <c r="N35" s="18">
        <v>1</v>
      </c>
      <c r="O35" s="18">
        <v>1</v>
      </c>
      <c r="P35" s="18">
        <v>1</v>
      </c>
      <c r="Q35" s="18">
        <v>1</v>
      </c>
      <c r="R35" s="18">
        <v>1</v>
      </c>
      <c r="S35" s="18">
        <v>1</v>
      </c>
      <c r="T35" s="18">
        <v>1</v>
      </c>
      <c r="U35" s="18">
        <v>1</v>
      </c>
      <c r="V35" s="18">
        <v>1</v>
      </c>
      <c r="W35" s="18">
        <v>1</v>
      </c>
      <c r="X35" s="18">
        <v>1</v>
      </c>
      <c r="Y35" s="18">
        <v>1</v>
      </c>
    </row>
    <row r="36" spans="1:25" x14ac:dyDescent="0.25">
      <c r="A36" s="4">
        <v>35</v>
      </c>
      <c r="B36" s="18">
        <v>1</v>
      </c>
      <c r="C36" s="18">
        <v>1</v>
      </c>
      <c r="D36" s="18">
        <v>1</v>
      </c>
      <c r="E36" s="18">
        <v>1</v>
      </c>
      <c r="F36" s="12">
        <v>1</v>
      </c>
      <c r="G36" s="19">
        <v>1</v>
      </c>
      <c r="H36" s="18">
        <v>1</v>
      </c>
      <c r="I36" s="18">
        <v>1</v>
      </c>
      <c r="J36" s="18">
        <v>1</v>
      </c>
      <c r="K36" s="18">
        <v>1</v>
      </c>
      <c r="L36" s="18">
        <v>1</v>
      </c>
      <c r="M36" s="18">
        <v>1</v>
      </c>
      <c r="N36" s="18">
        <v>1</v>
      </c>
      <c r="O36" s="18">
        <v>1</v>
      </c>
      <c r="P36" s="18">
        <v>1</v>
      </c>
      <c r="Q36" s="18">
        <v>1</v>
      </c>
      <c r="R36" s="18">
        <v>1</v>
      </c>
      <c r="S36" s="18">
        <v>1</v>
      </c>
      <c r="T36" s="18">
        <v>1</v>
      </c>
      <c r="U36" s="18">
        <v>1</v>
      </c>
      <c r="V36" s="18">
        <v>1</v>
      </c>
      <c r="W36" s="18">
        <v>1</v>
      </c>
      <c r="X36" s="18">
        <v>1</v>
      </c>
      <c r="Y36" s="18">
        <v>1</v>
      </c>
    </row>
    <row r="37" spans="1:25" x14ac:dyDescent="0.25">
      <c r="A37" s="4">
        <v>40</v>
      </c>
      <c r="B37" s="18">
        <v>1</v>
      </c>
      <c r="C37" s="18">
        <v>1</v>
      </c>
      <c r="D37" s="18">
        <v>1</v>
      </c>
      <c r="E37" s="18">
        <v>1</v>
      </c>
      <c r="F37" s="12">
        <v>1</v>
      </c>
      <c r="G37" s="19">
        <v>1</v>
      </c>
      <c r="H37" s="18">
        <v>1</v>
      </c>
      <c r="I37" s="18">
        <v>1</v>
      </c>
      <c r="J37" s="18">
        <v>1</v>
      </c>
      <c r="K37" s="18">
        <v>1</v>
      </c>
      <c r="L37" s="18">
        <v>1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18">
        <v>1</v>
      </c>
      <c r="T37" s="18">
        <v>1</v>
      </c>
      <c r="U37" s="18">
        <v>1</v>
      </c>
      <c r="V37" s="18">
        <v>1</v>
      </c>
      <c r="W37" s="18">
        <v>1</v>
      </c>
      <c r="X37" s="18">
        <v>1</v>
      </c>
      <c r="Y37" s="18">
        <v>1</v>
      </c>
    </row>
    <row r="38" spans="1:25" x14ac:dyDescent="0.25">
      <c r="A38" s="4">
        <v>45</v>
      </c>
      <c r="B38" s="18">
        <v>1</v>
      </c>
      <c r="C38" s="18">
        <v>1</v>
      </c>
      <c r="D38" s="18">
        <v>1</v>
      </c>
      <c r="E38" s="18">
        <v>1</v>
      </c>
      <c r="F38" s="12">
        <v>1</v>
      </c>
      <c r="G38" s="19">
        <v>1</v>
      </c>
      <c r="H38" s="18">
        <v>1</v>
      </c>
      <c r="I38" s="18">
        <v>1</v>
      </c>
      <c r="J38" s="18">
        <v>1</v>
      </c>
      <c r="K38" s="18">
        <v>1</v>
      </c>
      <c r="L38" s="18">
        <v>1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18">
        <v>1</v>
      </c>
      <c r="T38" s="18">
        <v>1</v>
      </c>
      <c r="U38" s="18">
        <v>1</v>
      </c>
      <c r="V38" s="18">
        <v>1</v>
      </c>
      <c r="W38" s="18">
        <v>1</v>
      </c>
      <c r="X38" s="18">
        <v>1</v>
      </c>
      <c r="Y38" s="18">
        <v>1</v>
      </c>
    </row>
    <row r="39" spans="1:25" x14ac:dyDescent="0.25">
      <c r="A39" s="4">
        <v>100</v>
      </c>
      <c r="B39" s="18">
        <v>1</v>
      </c>
      <c r="C39" s="18">
        <v>1</v>
      </c>
      <c r="D39" s="18">
        <v>1</v>
      </c>
      <c r="E39" s="18">
        <v>1</v>
      </c>
      <c r="F39" s="12">
        <v>1</v>
      </c>
      <c r="G39" s="19">
        <v>1</v>
      </c>
      <c r="H39" s="18">
        <v>1</v>
      </c>
      <c r="I39" s="18">
        <v>1</v>
      </c>
      <c r="J39" s="18">
        <v>1</v>
      </c>
      <c r="K39" s="18">
        <v>1</v>
      </c>
      <c r="L39" s="18">
        <v>1</v>
      </c>
      <c r="M39" s="18">
        <v>1</v>
      </c>
      <c r="N39" s="18">
        <v>1</v>
      </c>
      <c r="O39" s="18">
        <v>1</v>
      </c>
      <c r="P39" s="18">
        <v>1</v>
      </c>
      <c r="Q39" s="18">
        <v>1</v>
      </c>
      <c r="R39" s="18">
        <v>1</v>
      </c>
      <c r="S39" s="18">
        <v>1</v>
      </c>
      <c r="T39" s="18">
        <v>1</v>
      </c>
      <c r="U39" s="18">
        <v>1</v>
      </c>
      <c r="V39" s="18">
        <v>1</v>
      </c>
      <c r="W39" s="18">
        <v>1</v>
      </c>
      <c r="X39" s="18">
        <v>1</v>
      </c>
      <c r="Y39" s="18">
        <v>1</v>
      </c>
    </row>
    <row r="40" spans="1:25" x14ac:dyDescent="0.25">
      <c r="A40" s="4">
        <v>400</v>
      </c>
      <c r="B40" s="18">
        <v>1</v>
      </c>
      <c r="C40" s="18">
        <v>1</v>
      </c>
      <c r="D40" s="18">
        <v>1</v>
      </c>
      <c r="E40" s="18">
        <v>1</v>
      </c>
      <c r="F40" s="12">
        <v>1</v>
      </c>
      <c r="G40" s="19">
        <v>1</v>
      </c>
      <c r="H40" s="18">
        <v>1</v>
      </c>
      <c r="I40" s="18">
        <v>1</v>
      </c>
      <c r="J40" s="18">
        <v>1</v>
      </c>
      <c r="K40" s="18">
        <v>1</v>
      </c>
      <c r="L40" s="18">
        <v>1</v>
      </c>
      <c r="M40" s="18">
        <v>1</v>
      </c>
      <c r="N40" s="18">
        <v>1</v>
      </c>
      <c r="O40" s="18">
        <v>1</v>
      </c>
      <c r="P40" s="18">
        <v>1</v>
      </c>
      <c r="Q40" s="18">
        <v>1</v>
      </c>
      <c r="R40" s="18">
        <v>1</v>
      </c>
      <c r="S40" s="18">
        <v>1</v>
      </c>
      <c r="T40" s="18">
        <v>1</v>
      </c>
      <c r="U40" s="18">
        <v>1</v>
      </c>
      <c r="V40" s="18">
        <v>1</v>
      </c>
      <c r="W40" s="18">
        <v>1</v>
      </c>
      <c r="X40" s="18">
        <v>1</v>
      </c>
      <c r="Y40" s="18">
        <v>1</v>
      </c>
    </row>
  </sheetData>
  <conditionalFormatting sqref="B1:Y1">
    <cfRule type="cellIs" dxfId="6" priority="6" operator="equal">
      <formula>$AB$5</formula>
    </cfRule>
    <cfRule type="cellIs" dxfId="5" priority="5" operator="equal">
      <formula>$AB$6</formula>
    </cfRule>
  </conditionalFormatting>
  <conditionalFormatting sqref="A2:A40">
    <cfRule type="cellIs" dxfId="0" priority="2" operator="equal">
      <formula>$AB$7</formula>
    </cfRule>
    <cfRule type="cellIs" dxfId="1" priority="1" operator="equal">
      <formula>$AB$8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mortality_SPPA</vt:lpstr>
      <vt:lpstr>A</vt:lpstr>
      <vt:lpstr>B</vt:lpstr>
      <vt:lpstr>L</vt:lpstr>
      <vt:lpstr>R_</vt:lpstr>
      <vt:lpstr>VLA</vt:lpstr>
      <vt:lpstr>VLB</vt:lpstr>
      <vt:lpstr>VRA</vt:lpstr>
      <vt:lpstr>VRB</vt:lpstr>
      <vt:lpstr>VXA</vt:lpstr>
      <vt:lpstr>VXB</vt:lpstr>
      <vt:lpstr>VXY</vt:lpstr>
      <vt:lpstr>X</vt:lpstr>
      <vt:lpstr>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White</dc:creator>
  <cp:lastModifiedBy>Eric White</cp:lastModifiedBy>
  <dcterms:created xsi:type="dcterms:W3CDTF">2026-07-25T22:52:09Z</dcterms:created>
  <dcterms:modified xsi:type="dcterms:W3CDTF">2026-07-25T23:02:55Z</dcterms:modified>
</cp:coreProperties>
</file>